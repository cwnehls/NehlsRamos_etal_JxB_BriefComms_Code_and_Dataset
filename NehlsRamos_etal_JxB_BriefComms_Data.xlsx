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hidePivotFieldList="1"/>
  <mc:AlternateContent xmlns:mc="http://schemas.openxmlformats.org/markup-compatibility/2006">
    <mc:Choice Requires="x15">
      <x15ac:absPath xmlns:x15ac="http://schemas.microsoft.com/office/spreadsheetml/2010/11/ac" url="\\lancs\homes\21\nehls\My Documents\r\NehlsRamos_etal_JxB_BriefComms_Code_and_Dataset\"/>
    </mc:Choice>
  </mc:AlternateContent>
  <xr:revisionPtr revIDLastSave="159" documentId="13_ncr:1_{87D03807-77B0-43F2-8114-F06A8BD263D0}" xr6:coauthVersionLast="47" xr6:coauthVersionMax="47" xr10:uidLastSave="{5CEF6F69-00A3-40E6-9293-96931715E6AA}"/>
  <bookViews>
    <workbookView xWindow="-110" yWindow="-110" windowWidth="19420" windowHeight="10420" activeTab="1" xr2:uid="{00000000-000D-0000-FFFF-FFFF00000000}"/>
  </bookViews>
  <sheets>
    <sheet name="Full Dataset" sheetId="50" r:id="rId1"/>
    <sheet name="Species Averages" sheetId="61" r:id="rId2"/>
  </sheets>
  <calcPr calcId="191028"/>
  <pivotCaches>
    <pivotCache cacheId="274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2" i="61" l="1"/>
  <c r="O3" i="61"/>
  <c r="O4" i="61"/>
  <c r="O5" i="61"/>
  <c r="O6" i="61"/>
  <c r="O7" i="61"/>
  <c r="O8" i="61"/>
  <c r="O9" i="61"/>
  <c r="O10" i="61"/>
  <c r="O11" i="61"/>
  <c r="O12" i="61"/>
  <c r="O13" i="61"/>
  <c r="O14" i="61"/>
  <c r="O15" i="61"/>
  <c r="O16" i="61"/>
  <c r="O17" i="61"/>
  <c r="O18" i="61"/>
  <c r="O19" i="61"/>
  <c r="O20" i="61"/>
  <c r="O21" i="61"/>
  <c r="O22" i="61"/>
  <c r="O23" i="61"/>
  <c r="O24" i="61"/>
  <c r="O25" i="61"/>
  <c r="O26" i="61"/>
  <c r="O27" i="61"/>
  <c r="O28" i="61"/>
  <c r="O29" i="61"/>
  <c r="O30" i="61"/>
  <c r="O31" i="61"/>
  <c r="O32" i="61"/>
  <c r="O33" i="61"/>
  <c r="O34" i="61"/>
  <c r="O35" i="61"/>
  <c r="O36" i="61"/>
  <c r="O37" i="61"/>
  <c r="O38" i="61"/>
  <c r="O39" i="61"/>
  <c r="O40" i="61"/>
  <c r="O41" i="61"/>
  <c r="O42" i="61"/>
  <c r="O43" i="61"/>
  <c r="O44" i="61"/>
  <c r="O45" i="61"/>
  <c r="O46" i="61"/>
  <c r="O47" i="61"/>
  <c r="O48" i="61"/>
  <c r="O49" i="61"/>
  <c r="O50" i="61"/>
  <c r="O51" i="61"/>
  <c r="O52" i="61"/>
  <c r="O53" i="61"/>
  <c r="O54" i="61"/>
  <c r="O55" i="61"/>
  <c r="O56" i="61"/>
  <c r="O57" i="61"/>
  <c r="O58" i="61"/>
  <c r="O59" i="61"/>
  <c r="O60" i="61"/>
  <c r="O61" i="61"/>
  <c r="O62" i="61"/>
  <c r="O63" i="61"/>
  <c r="O64" i="61"/>
  <c r="O65" i="61"/>
  <c r="O66" i="61"/>
  <c r="O67" i="61"/>
  <c r="O68" i="61"/>
  <c r="O69" i="61"/>
  <c r="O70" i="61"/>
  <c r="O71" i="61"/>
  <c r="O72" i="61"/>
  <c r="O73" i="61"/>
  <c r="O74" i="61"/>
  <c r="O75" i="61"/>
  <c r="O76" i="61"/>
  <c r="O77" i="61"/>
  <c r="O78" i="61"/>
  <c r="O79" i="61"/>
  <c r="O80" i="61"/>
  <c r="O81" i="61"/>
  <c r="O82" i="61"/>
  <c r="O83" i="61"/>
  <c r="O84" i="61"/>
  <c r="O85" i="61"/>
  <c r="O86" i="61"/>
  <c r="O87" i="61"/>
  <c r="O88" i="61"/>
  <c r="O89" i="61"/>
  <c r="O90" i="61"/>
  <c r="O91" i="61"/>
  <c r="O92" i="61"/>
  <c r="O93" i="61"/>
  <c r="O94" i="61"/>
  <c r="O95" i="61"/>
  <c r="O96" i="61"/>
  <c r="O97" i="61"/>
  <c r="O98" i="61"/>
  <c r="O99" i="61"/>
  <c r="O100" i="61"/>
  <c r="O101" i="61"/>
  <c r="O102" i="61"/>
  <c r="O103" i="61"/>
  <c r="O104" i="61"/>
  <c r="O105" i="61"/>
  <c r="O106" i="61"/>
  <c r="O107" i="61"/>
  <c r="O108" i="61"/>
  <c r="O2" i="61"/>
  <c r="O109" i="61"/>
  <c r="O110" i="61"/>
  <c r="O111" i="61"/>
  <c r="O112" i="61"/>
  <c r="O113" i="61"/>
  <c r="O114" i="61"/>
  <c r="O115" i="61"/>
  <c r="O116" i="61"/>
  <c r="O117" i="61"/>
  <c r="O118" i="61"/>
  <c r="O119" i="61"/>
  <c r="O120" i="61"/>
  <c r="O121" i="61"/>
  <c r="O122" i="61"/>
  <c r="O123" i="61"/>
  <c r="O124" i="61"/>
  <c r="O125" i="61"/>
  <c r="O126" i="61"/>
  <c r="O127" i="61"/>
  <c r="O128" i="61"/>
  <c r="O129" i="61"/>
  <c r="O130" i="61"/>
  <c r="O131" i="61"/>
  <c r="O132" i="61"/>
  <c r="O133" i="61"/>
  <c r="O134" i="61"/>
  <c r="O135" i="61"/>
  <c r="O136" i="61"/>
  <c r="O137" i="61"/>
  <c r="O138" i="61"/>
  <c r="O139" i="61"/>
  <c r="O140" i="61"/>
  <c r="O141" i="61"/>
  <c r="O142" i="61"/>
  <c r="O143" i="61"/>
  <c r="O144" i="61"/>
  <c r="O145" i="61"/>
  <c r="O146" i="61"/>
  <c r="O147" i="61"/>
  <c r="O148" i="61"/>
  <c r="O149" i="61"/>
  <c r="O150" i="61"/>
  <c r="O151" i="61"/>
  <c r="O152" i="61"/>
  <c r="O153" i="61"/>
  <c r="O154" i="61"/>
  <c r="O155" i="61"/>
  <c r="O156" i="61"/>
  <c r="O157" i="61"/>
  <c r="O158" i="61"/>
  <c r="O159" i="61"/>
  <c r="O160" i="61"/>
  <c r="O161" i="61"/>
  <c r="P45" i="50"/>
  <c r="P319" i="50"/>
  <c r="M6" i="50"/>
  <c r="M330" i="50"/>
  <c r="Q330" i="50"/>
  <c r="P330" i="50" s="1"/>
  <c r="M101" i="50"/>
  <c r="M310" i="50"/>
  <c r="M107" i="50"/>
  <c r="Q107" i="50"/>
  <c r="P107" i="50" s="1"/>
  <c r="Q310" i="50"/>
  <c r="P310" i="50" s="1"/>
  <c r="Q101" i="50"/>
  <c r="P101" i="50" s="1"/>
  <c r="M328" i="50"/>
  <c r="M334" i="50"/>
  <c r="M333" i="50"/>
  <c r="M329" i="50"/>
  <c r="M331" i="50"/>
  <c r="M325" i="50"/>
  <c r="M321" i="50"/>
  <c r="M317" i="50"/>
  <c r="M327" i="50"/>
  <c r="M319" i="50"/>
  <c r="M320" i="50"/>
  <c r="M316" i="50"/>
  <c r="M318" i="50"/>
  <c r="M324" i="50"/>
  <c r="M323" i="50"/>
  <c r="M326" i="50"/>
  <c r="M322" i="50"/>
  <c r="M99" i="50"/>
  <c r="M102" i="50"/>
  <c r="M28" i="50"/>
  <c r="M39" i="50"/>
  <c r="M90" i="50"/>
  <c r="M84" i="50"/>
  <c r="M176" i="50"/>
  <c r="M5" i="50"/>
  <c r="M89" i="50"/>
  <c r="M91" i="50"/>
  <c r="M27" i="50"/>
  <c r="M45" i="50"/>
  <c r="M11" i="50"/>
  <c r="M85" i="50"/>
  <c r="M36" i="50"/>
  <c r="M31" i="50"/>
  <c r="M40" i="50"/>
  <c r="M22" i="50"/>
  <c r="M55" i="50"/>
  <c r="M97" i="50"/>
  <c r="M32" i="50"/>
  <c r="M76" i="50"/>
  <c r="M42" i="50"/>
  <c r="M86" i="50"/>
  <c r="M54" i="50"/>
  <c r="M311" i="50"/>
  <c r="M312" i="50"/>
  <c r="M88" i="50"/>
  <c r="M83" i="50"/>
  <c r="M151" i="50"/>
  <c r="M152" i="50"/>
  <c r="M130" i="50"/>
  <c r="M131" i="50"/>
  <c r="M203" i="50"/>
  <c r="M205" i="50"/>
  <c r="M206" i="50"/>
  <c r="M167" i="50"/>
  <c r="M168" i="50"/>
  <c r="M169" i="50"/>
  <c r="M164" i="50"/>
  <c r="M165" i="50"/>
  <c r="M166" i="50"/>
  <c r="M162" i="50"/>
  <c r="M172" i="50"/>
  <c r="M173" i="50"/>
  <c r="M171" i="50"/>
  <c r="M174" i="50"/>
  <c r="M177" i="50"/>
  <c r="M178" i="50"/>
  <c r="M180" i="50"/>
  <c r="M182" i="50"/>
  <c r="M183" i="50"/>
  <c r="M186" i="50"/>
  <c r="M187" i="50"/>
  <c r="M188" i="50"/>
  <c r="M157" i="50"/>
  <c r="M155" i="50"/>
  <c r="M103" i="50"/>
  <c r="M23" i="50"/>
  <c r="M159" i="50"/>
  <c r="M43" i="50"/>
  <c r="M93" i="50"/>
  <c r="M92" i="50"/>
  <c r="M184" i="50"/>
  <c r="M185" i="50"/>
  <c r="M163" i="50"/>
  <c r="M134" i="50"/>
  <c r="M30" i="50"/>
  <c r="M150" i="50"/>
  <c r="M170" i="50"/>
  <c r="M21" i="50"/>
  <c r="M96" i="50"/>
  <c r="M161" i="50"/>
  <c r="M48" i="50"/>
  <c r="M46" i="50"/>
  <c r="M41" i="50"/>
  <c r="M175" i="50"/>
  <c r="M204" i="50"/>
  <c r="M313" i="50"/>
  <c r="M160" i="50"/>
  <c r="M35" i="50"/>
  <c r="M77" i="50"/>
  <c r="M136" i="50"/>
  <c r="M315" i="50"/>
  <c r="M156" i="50"/>
  <c r="M26" i="50"/>
  <c r="M237" i="50"/>
  <c r="M154" i="50"/>
  <c r="M52" i="50"/>
  <c r="M44" i="50"/>
  <c r="M128" i="50"/>
  <c r="M47" i="50"/>
  <c r="M207" i="50"/>
  <c r="M133" i="50"/>
  <c r="M12" i="50"/>
  <c r="M50" i="50"/>
  <c r="M34" i="50"/>
  <c r="M179" i="50"/>
  <c r="M234" i="50"/>
  <c r="M191" i="50"/>
  <c r="M113" i="50"/>
  <c r="M125" i="50"/>
  <c r="M149" i="50"/>
  <c r="M78" i="50"/>
  <c r="M49" i="50"/>
  <c r="M309" i="50"/>
  <c r="M8" i="50"/>
  <c r="M241" i="50"/>
  <c r="M87" i="50"/>
  <c r="M181" i="50"/>
  <c r="M132" i="50"/>
  <c r="M197" i="50"/>
  <c r="M231" i="50"/>
  <c r="M307" i="50"/>
  <c r="M146" i="50"/>
  <c r="M122" i="50"/>
  <c r="M94" i="50"/>
  <c r="M219" i="50"/>
  <c r="M201" i="50"/>
  <c r="M37" i="50"/>
  <c r="M95" i="50"/>
  <c r="M158" i="50"/>
  <c r="M139" i="50"/>
  <c r="M71" i="50"/>
  <c r="M208" i="50"/>
  <c r="M25" i="50"/>
  <c r="M144" i="50"/>
  <c r="M217" i="50"/>
  <c r="M232" i="50"/>
  <c r="M24" i="50"/>
  <c r="M29" i="50"/>
  <c r="M114" i="50"/>
  <c r="M135" i="50"/>
  <c r="M211" i="50"/>
  <c r="M13" i="50"/>
  <c r="M124" i="50"/>
  <c r="M16" i="50"/>
  <c r="M68" i="50"/>
  <c r="M242" i="50"/>
  <c r="M250" i="50"/>
  <c r="M189" i="50"/>
  <c r="M72" i="50"/>
  <c r="M261" i="50"/>
  <c r="M194" i="50"/>
  <c r="M127" i="50"/>
  <c r="M239" i="50"/>
  <c r="M190" i="50"/>
  <c r="M38" i="50"/>
  <c r="M236" i="50"/>
  <c r="M142" i="50"/>
  <c r="M109" i="50"/>
  <c r="M212" i="50"/>
  <c r="M230" i="50"/>
  <c r="M15" i="50"/>
  <c r="M112" i="50"/>
  <c r="M198" i="50"/>
  <c r="M308" i="50"/>
  <c r="M51" i="50"/>
  <c r="M238" i="50"/>
  <c r="M7" i="50"/>
  <c r="M53" i="50"/>
  <c r="M233" i="50"/>
  <c r="M259" i="50"/>
  <c r="M56" i="50"/>
  <c r="M69" i="50"/>
  <c r="M141" i="50"/>
  <c r="M192" i="50"/>
  <c r="M229" i="50"/>
  <c r="M228" i="50"/>
  <c r="M65" i="50"/>
  <c r="M220" i="50"/>
  <c r="M104" i="50"/>
  <c r="M14" i="50"/>
  <c r="M74" i="50"/>
  <c r="M202" i="50"/>
  <c r="M214" i="50"/>
  <c r="M108" i="50"/>
  <c r="M147" i="50"/>
  <c r="M209" i="50"/>
  <c r="M82" i="50"/>
  <c r="M100" i="50"/>
  <c r="M116" i="50"/>
  <c r="M193" i="50"/>
  <c r="M98" i="50"/>
  <c r="M137" i="50"/>
  <c r="M243" i="50"/>
  <c r="M199" i="50"/>
  <c r="M66" i="50"/>
  <c r="M247" i="50"/>
  <c r="M117" i="50"/>
  <c r="M126" i="50"/>
  <c r="M195" i="50"/>
  <c r="M18" i="50"/>
  <c r="M115" i="50"/>
  <c r="M153" i="50"/>
  <c r="M227" i="50"/>
  <c r="M254" i="50"/>
  <c r="M248" i="50"/>
  <c r="M244" i="50"/>
  <c r="M57" i="50"/>
  <c r="M143" i="50"/>
  <c r="M121" i="50"/>
  <c r="M2" i="50"/>
  <c r="M106" i="50"/>
  <c r="M215" i="50"/>
  <c r="M226" i="50"/>
  <c r="M73" i="50"/>
  <c r="M67" i="50"/>
  <c r="M120" i="50"/>
  <c r="M306" i="50"/>
  <c r="M17" i="50"/>
  <c r="M148" i="50"/>
  <c r="M235" i="50"/>
  <c r="M79" i="50"/>
  <c r="M70" i="50"/>
  <c r="M60" i="50"/>
  <c r="M81" i="50"/>
  <c r="M129" i="50"/>
  <c r="M63" i="50"/>
  <c r="M61" i="50"/>
  <c r="M314" i="50"/>
  <c r="M62" i="50"/>
  <c r="M218" i="50"/>
  <c r="M119" i="50"/>
  <c r="M138" i="50"/>
  <c r="M299" i="50"/>
  <c r="M75" i="50"/>
  <c r="M222" i="50"/>
  <c r="M58" i="50"/>
  <c r="M118" i="50"/>
  <c r="M200" i="50"/>
  <c r="M223" i="50"/>
  <c r="M240" i="50"/>
  <c r="M33" i="50"/>
  <c r="M221" i="50"/>
  <c r="M264" i="50"/>
  <c r="M196" i="50"/>
  <c r="M213" i="50"/>
  <c r="M253" i="50"/>
  <c r="M225" i="50"/>
  <c r="M111" i="50"/>
  <c r="M256" i="50"/>
  <c r="M140" i="50"/>
  <c r="M80" i="50"/>
  <c r="M251" i="50"/>
  <c r="M224" i="50"/>
  <c r="M260" i="50"/>
  <c r="M245" i="50"/>
  <c r="M263" i="50"/>
  <c r="M246" i="50"/>
  <c r="M123" i="50"/>
  <c r="M300" i="50"/>
  <c r="M265" i="50"/>
  <c r="M59" i="50"/>
  <c r="M276" i="50"/>
  <c r="M274" i="50"/>
  <c r="M262" i="50"/>
  <c r="M3" i="50"/>
  <c r="M282" i="50"/>
  <c r="M64" i="50"/>
  <c r="M301" i="50"/>
  <c r="M145" i="50"/>
  <c r="M272" i="50"/>
  <c r="M275" i="50"/>
  <c r="M273" i="50"/>
  <c r="M20" i="50"/>
  <c r="M303" i="50"/>
  <c r="M105" i="50"/>
  <c r="M255" i="50"/>
  <c r="M19" i="50"/>
  <c r="M216" i="50"/>
  <c r="M249" i="50"/>
  <c r="M278" i="50"/>
  <c r="M210" i="50"/>
  <c r="M288" i="50"/>
  <c r="M295" i="50"/>
  <c r="M252" i="50"/>
  <c r="M283" i="50"/>
  <c r="M4" i="50"/>
  <c r="M270" i="50"/>
  <c r="M305" i="50"/>
  <c r="M304" i="50"/>
  <c r="M277" i="50"/>
  <c r="M269" i="50"/>
  <c r="M284" i="50"/>
  <c r="M287" i="50"/>
  <c r="M292" i="50"/>
  <c r="M294" i="50"/>
  <c r="M297" i="50"/>
  <c r="M257" i="50"/>
  <c r="M293" i="50"/>
  <c r="M110" i="50"/>
  <c r="M302" i="50"/>
  <c r="M279" i="50"/>
  <c r="M271" i="50"/>
  <c r="M268" i="50"/>
  <c r="M258" i="50"/>
  <c r="M298" i="50"/>
  <c r="M267" i="50"/>
  <c r="M280" i="50"/>
  <c r="M281" i="50"/>
  <c r="M286" i="50"/>
  <c r="M291" i="50"/>
  <c r="M296" i="50"/>
  <c r="M285" i="50"/>
  <c r="M290" i="50"/>
  <c r="M9" i="50"/>
  <c r="M10" i="50"/>
  <c r="M289" i="50"/>
  <c r="M266" i="50"/>
  <c r="M332" i="50"/>
  <c r="P325" i="50"/>
  <c r="P321" i="50"/>
  <c r="P317" i="50"/>
  <c r="P327" i="50"/>
  <c r="P320" i="50"/>
  <c r="P316" i="50"/>
  <c r="P318" i="50"/>
  <c r="P324" i="50"/>
  <c r="P323" i="50"/>
  <c r="P326" i="50"/>
  <c r="P322" i="50"/>
  <c r="P99" i="50"/>
  <c r="P102" i="50"/>
  <c r="P28" i="50"/>
  <c r="P39" i="50"/>
  <c r="P90" i="50"/>
  <c r="P84" i="50"/>
  <c r="P176" i="50"/>
  <c r="P5" i="50"/>
  <c r="P89" i="50"/>
  <c r="P11" i="50"/>
  <c r="P36" i="50"/>
  <c r="P31" i="50"/>
  <c r="P40" i="50"/>
  <c r="P22" i="50"/>
  <c r="P55" i="50"/>
  <c r="P97" i="50"/>
  <c r="P32" i="50"/>
  <c r="P76" i="50"/>
  <c r="P42" i="50"/>
  <c r="P54" i="50"/>
  <c r="P311" i="50"/>
  <c r="P312" i="50"/>
  <c r="P88" i="50"/>
  <c r="P83" i="50"/>
  <c r="P151" i="50"/>
  <c r="P152" i="50"/>
  <c r="P130" i="50"/>
  <c r="P131" i="50"/>
  <c r="P203" i="50"/>
  <c r="P205" i="50"/>
  <c r="P206" i="50"/>
  <c r="P167" i="50"/>
  <c r="P168" i="50"/>
  <c r="P169" i="50"/>
  <c r="P164" i="50"/>
  <c r="P165" i="50"/>
  <c r="P166" i="50"/>
  <c r="P162" i="50"/>
  <c r="P172" i="50"/>
  <c r="P173" i="50"/>
  <c r="P171" i="50"/>
  <c r="P174" i="50"/>
  <c r="P177" i="50"/>
  <c r="P178" i="50"/>
  <c r="P180" i="50"/>
  <c r="P182" i="50"/>
  <c r="P183" i="50"/>
  <c r="P186" i="50"/>
  <c r="P187" i="50"/>
  <c r="P188" i="50"/>
  <c r="P157" i="50"/>
  <c r="P155" i="50"/>
  <c r="P103" i="50"/>
  <c r="P23" i="50"/>
  <c r="P159" i="50"/>
  <c r="P43" i="50"/>
  <c r="P93" i="50"/>
  <c r="P92" i="50"/>
  <c r="P184" i="50"/>
  <c r="P185" i="50"/>
  <c r="P163" i="50"/>
  <c r="P134" i="50"/>
  <c r="P30" i="50"/>
  <c r="P150" i="50"/>
  <c r="P170" i="50"/>
  <c r="P21" i="50"/>
  <c r="P96" i="50"/>
  <c r="P161" i="50"/>
  <c r="P48" i="50"/>
  <c r="P46" i="50"/>
  <c r="P175" i="50"/>
  <c r="P204" i="50"/>
  <c r="P160" i="50"/>
  <c r="P35" i="50"/>
  <c r="P77" i="50"/>
  <c r="P136" i="50"/>
  <c r="P315" i="50"/>
  <c r="P156" i="50"/>
  <c r="P26" i="50"/>
  <c r="P237" i="50"/>
  <c r="P154" i="50"/>
  <c r="P52" i="50"/>
  <c r="P44" i="50"/>
  <c r="P128" i="50"/>
  <c r="P47" i="50"/>
  <c r="P207" i="50"/>
  <c r="P133" i="50"/>
  <c r="P12" i="50"/>
  <c r="P50" i="50"/>
  <c r="P34" i="50"/>
  <c r="P179" i="50"/>
  <c r="P191" i="50"/>
  <c r="P113" i="50"/>
  <c r="P125" i="50"/>
  <c r="P149" i="50"/>
  <c r="P78" i="50"/>
  <c r="P49" i="50"/>
  <c r="P309" i="50"/>
  <c r="P181" i="50"/>
  <c r="P132" i="50"/>
  <c r="P197" i="50"/>
  <c r="P231" i="50"/>
  <c r="P307" i="50"/>
  <c r="P146" i="50"/>
  <c r="P122" i="50"/>
  <c r="P94" i="50"/>
  <c r="P219" i="50"/>
  <c r="P201" i="50"/>
  <c r="P37" i="50"/>
  <c r="P95" i="50"/>
  <c r="P158" i="50"/>
  <c r="P139" i="50"/>
  <c r="P71" i="50"/>
  <c r="P208" i="50"/>
  <c r="P144" i="50"/>
  <c r="P217" i="50"/>
  <c r="P232" i="50"/>
  <c r="P24" i="50"/>
  <c r="P29" i="50"/>
  <c r="P114" i="50"/>
  <c r="P135" i="50"/>
  <c r="P211" i="50"/>
  <c r="P13" i="50"/>
  <c r="P124" i="50"/>
  <c r="P16" i="50"/>
  <c r="P68" i="50"/>
  <c r="P250" i="50"/>
  <c r="P189" i="50"/>
  <c r="P72" i="50"/>
  <c r="P261" i="50"/>
  <c r="P194" i="50"/>
  <c r="P127" i="50"/>
  <c r="P239" i="50"/>
  <c r="P190" i="50"/>
  <c r="P38" i="50"/>
  <c r="P236" i="50"/>
  <c r="P142" i="50"/>
  <c r="P109" i="50"/>
  <c r="P212" i="50"/>
  <c r="P230" i="50"/>
  <c r="P15" i="50"/>
  <c r="P112" i="50"/>
  <c r="P198" i="50"/>
  <c r="P308" i="50"/>
  <c r="P51" i="50"/>
  <c r="P238" i="50"/>
  <c r="P53" i="50"/>
  <c r="P233" i="50"/>
  <c r="P259" i="50"/>
  <c r="P56" i="50"/>
  <c r="P69" i="50"/>
  <c r="P141" i="50"/>
  <c r="P192" i="50"/>
  <c r="P229" i="50"/>
  <c r="P104" i="50"/>
  <c r="P14" i="50"/>
  <c r="P74" i="50"/>
  <c r="P202" i="50"/>
  <c r="P214" i="50"/>
  <c r="P108" i="50"/>
  <c r="P147" i="50"/>
  <c r="P209" i="50"/>
  <c r="P116" i="50"/>
  <c r="P193" i="50"/>
  <c r="P98" i="50"/>
  <c r="P137" i="50"/>
  <c r="P199" i="50"/>
  <c r="P247" i="50"/>
  <c r="P117" i="50"/>
  <c r="P126" i="50"/>
  <c r="P195" i="50"/>
  <c r="P18" i="50"/>
  <c r="P115" i="50"/>
  <c r="P153" i="50"/>
  <c r="P254" i="50"/>
  <c r="P248" i="50"/>
  <c r="P244" i="50"/>
  <c r="P143" i="50"/>
  <c r="P121" i="50"/>
  <c r="P106" i="50"/>
  <c r="P215" i="50"/>
  <c r="P226" i="50"/>
  <c r="P73" i="50"/>
  <c r="P67" i="50"/>
  <c r="P120" i="50"/>
  <c r="P306" i="50"/>
  <c r="P17" i="50"/>
  <c r="P148" i="50"/>
  <c r="P235" i="50"/>
  <c r="P70" i="50"/>
  <c r="P60" i="50"/>
  <c r="P129" i="50"/>
  <c r="P62" i="50"/>
  <c r="P218" i="50"/>
  <c r="P119" i="50"/>
  <c r="P138" i="50"/>
  <c r="P299" i="50"/>
  <c r="P75" i="50"/>
  <c r="P118" i="50"/>
  <c r="P200" i="50"/>
  <c r="P223" i="50"/>
  <c r="P240" i="50"/>
  <c r="P33" i="50"/>
  <c r="P264" i="50"/>
  <c r="P196" i="50"/>
  <c r="P213" i="50"/>
  <c r="P253" i="50"/>
  <c r="P225" i="50"/>
  <c r="P111" i="50"/>
  <c r="P256" i="50"/>
  <c r="P140" i="50"/>
  <c r="P251" i="50"/>
  <c r="P224" i="50"/>
  <c r="P260" i="50"/>
  <c r="P245" i="50"/>
  <c r="P263" i="50"/>
  <c r="P246" i="50"/>
  <c r="P123" i="50"/>
  <c r="P300" i="50"/>
  <c r="P265" i="50"/>
  <c r="P274" i="50"/>
  <c r="P262" i="50"/>
  <c r="P282" i="50"/>
  <c r="P301" i="50"/>
  <c r="P145" i="50"/>
  <c r="P272" i="50"/>
  <c r="P275" i="50"/>
  <c r="P273" i="50"/>
  <c r="P303" i="50"/>
  <c r="P105" i="50"/>
  <c r="P255" i="50"/>
  <c r="P216" i="50"/>
  <c r="P249" i="50"/>
  <c r="P278" i="50"/>
  <c r="P210" i="50"/>
  <c r="P288" i="50"/>
  <c r="P295" i="50"/>
  <c r="P252" i="50"/>
  <c r="P283" i="50"/>
  <c r="P305" i="50"/>
  <c r="P304" i="50"/>
  <c r="P277" i="50"/>
  <c r="P284" i="50"/>
  <c r="P287" i="50"/>
  <c r="P292" i="50"/>
  <c r="P294" i="50"/>
  <c r="P297" i="50"/>
  <c r="P257" i="50"/>
  <c r="P293" i="50"/>
  <c r="P302" i="50"/>
  <c r="P279" i="50"/>
  <c r="P268" i="50"/>
  <c r="P258" i="50"/>
  <c r="P298" i="50"/>
  <c r="P267" i="50"/>
  <c r="P280" i="50"/>
  <c r="P281" i="50"/>
  <c r="P286" i="50"/>
  <c r="P291" i="50"/>
  <c r="P296" i="50"/>
  <c r="P285" i="50"/>
  <c r="P290" i="50"/>
  <c r="P9" i="50"/>
  <c r="P10" i="50"/>
  <c r="P289" i="50"/>
  <c r="Q333" i="50"/>
  <c r="P333" i="50" s="1"/>
  <c r="Q332" i="50"/>
  <c r="P332" i="50" s="1"/>
  <c r="Q3" i="50"/>
  <c r="P3" i="50" s="1"/>
  <c r="Q20" i="50"/>
  <c r="P20" i="50" s="1"/>
  <c r="Q241" i="50"/>
  <c r="P241" i="50" s="1"/>
  <c r="Q227" i="50"/>
  <c r="P227" i="50" s="1"/>
  <c r="Q220" i="50"/>
  <c r="P220" i="50" s="1"/>
  <c r="Q221" i="50"/>
  <c r="P221" i="50" s="1"/>
  <c r="Q334" i="50"/>
  <c r="P334" i="50" s="1"/>
  <c r="Q4" i="50"/>
  <c r="P4" i="50" s="1"/>
  <c r="Q110" i="50"/>
  <c r="P110" i="50" s="1"/>
  <c r="Q266" i="50"/>
  <c r="P266" i="50" s="1"/>
  <c r="Q82" i="50"/>
  <c r="P82" i="50" s="1"/>
  <c r="Q222" i="50"/>
  <c r="P222" i="50" s="1"/>
  <c r="Q61" i="50"/>
  <c r="P61" i="50" s="1"/>
  <c r="Q228" i="50"/>
  <c r="P228" i="50" s="1"/>
  <c r="Q7" i="50"/>
  <c r="P7" i="50" s="1"/>
  <c r="Q6" i="50"/>
  <c r="P6" i="50" s="1"/>
  <c r="Q57" i="50"/>
  <c r="P57" i="50" s="1"/>
  <c r="Q59" i="50"/>
  <c r="P59" i="50" s="1"/>
  <c r="Q58" i="50"/>
  <c r="P58" i="50" s="1"/>
  <c r="Q276" i="50"/>
  <c r="P276" i="50" s="1"/>
  <c r="Q91" i="50"/>
  <c r="P91" i="50" s="1"/>
  <c r="Q19" i="50"/>
  <c r="P19" i="50" s="1"/>
  <c r="Q329" i="50"/>
  <c r="P329" i="50" s="1"/>
  <c r="Q234" i="50"/>
  <c r="P234" i="50" s="1"/>
  <c r="Q65" i="50"/>
  <c r="P65" i="50" s="1"/>
  <c r="Q64" i="50"/>
  <c r="P64" i="50" s="1"/>
  <c r="Q100" i="50"/>
  <c r="P100" i="50" s="1"/>
  <c r="Q63" i="50"/>
  <c r="P63" i="50" s="1"/>
  <c r="Q2" i="50"/>
  <c r="P2" i="50" s="1"/>
  <c r="Q8" i="50"/>
  <c r="P8" i="50" s="1"/>
  <c r="Q270" i="50"/>
  <c r="P270" i="50" s="1"/>
  <c r="Q81" i="50"/>
  <c r="P81" i="50" s="1"/>
  <c r="Q87" i="50"/>
  <c r="P87" i="50" s="1"/>
  <c r="Q271" i="50"/>
  <c r="P271" i="50" s="1"/>
  <c r="Q80" i="50"/>
  <c r="P80" i="50" s="1"/>
  <c r="Q86" i="50"/>
  <c r="P86" i="50" s="1"/>
  <c r="Q269" i="50"/>
  <c r="P269" i="50" s="1"/>
  <c r="Q79" i="50"/>
  <c r="P79" i="50" s="1"/>
  <c r="Q85" i="50"/>
  <c r="P85" i="50" s="1"/>
  <c r="Q328" i="50"/>
  <c r="P328" i="50" s="1"/>
  <c r="Q242" i="50"/>
  <c r="P242" i="50" s="1"/>
  <c r="Q243" i="50"/>
  <c r="P243" i="50" s="1"/>
  <c r="Q41" i="50"/>
  <c r="P41" i="50" s="1"/>
  <c r="Q27" i="50"/>
  <c r="P27" i="50" s="1"/>
  <c r="Q25" i="50"/>
  <c r="P25" i="50" s="1"/>
  <c r="Q313" i="50"/>
  <c r="P313" i="50" s="1"/>
  <c r="Q66" i="50"/>
  <c r="P66" i="50" s="1"/>
  <c r="Q314" i="50"/>
  <c r="P314" i="50" s="1"/>
  <c r="Q331" i="50"/>
  <c r="P331" i="5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Nehls, Connor (Postgraduate Researcher)</author>
  </authors>
  <commentList>
    <comment ref="R1" authorId="0" shapeId="0" xr:uid="{F0E1034B-F437-4963-917B-CBC7BA0523D8}">
      <text>
        <r>
          <rPr>
            <sz val="11"/>
            <color theme="1"/>
            <rFont val="Calibri"/>
            <family val="2"/>
            <scheme val="minor"/>
          </rPr>
          <t>Nehls, Connor (Postgraduate Researcher):
For sources that describe the light level as 'full sunlight' or a derivative, and do not specify quantitatively the light level, 1000umol/m^2 is used</t>
        </r>
      </text>
    </comment>
    <comment ref="S1" authorId="0" shapeId="0" xr:uid="{19DF06AA-2BB1-4B82-B8FA-7C30814F6591}">
      <text>
        <r>
          <rPr>
            <sz val="11"/>
            <color theme="1"/>
            <rFont val="Calibri"/>
            <family val="2"/>
            <scheme val="minor"/>
          </rPr>
          <t>Nehls, Connor (Postgraduate Researcher):
For sources that do not specify a light amount, but rather darkness, or variations on 'full dark', the value 0 is used</t>
        </r>
      </text>
    </comment>
  </commentList>
</comments>
</file>

<file path=xl/sharedStrings.xml><?xml version="1.0" encoding="utf-8"?>
<sst xmlns="http://schemas.openxmlformats.org/spreadsheetml/2006/main" count="5945" uniqueCount="856">
  <si>
    <t>Lit_Source</t>
  </si>
  <si>
    <t>Year</t>
  </si>
  <si>
    <t>Taxonomy_Order_Rank</t>
  </si>
  <si>
    <t>Taxonomy _Family_Rank</t>
  </si>
  <si>
    <t>Taxonomy _Subfamily_Rank</t>
  </si>
  <si>
    <t>Taxonomy _Tribe_Rank</t>
  </si>
  <si>
    <t>Taxonomy_Genus_Rank</t>
  </si>
  <si>
    <t>Taxonomy_Species_Rank</t>
  </si>
  <si>
    <t>Order</t>
  </si>
  <si>
    <t>Family</t>
  </si>
  <si>
    <t>Subfamily</t>
  </si>
  <si>
    <t>Tribe</t>
  </si>
  <si>
    <t>Genus</t>
  </si>
  <si>
    <t>Species</t>
  </si>
  <si>
    <t>Variety</t>
  </si>
  <si>
    <t>Dark Inhibition Level</t>
  </si>
  <si>
    <t>Dark_Inhibition</t>
  </si>
  <si>
    <t>Light_Level_umol_m2_s</t>
  </si>
  <si>
    <t>Dark_Level_umol_m2_s</t>
  </si>
  <si>
    <t>Note:</t>
  </si>
  <si>
    <t>Activity_Measurement</t>
  </si>
  <si>
    <t>Method</t>
  </si>
  <si>
    <t>Rubisco_Activation_Time_min</t>
  </si>
  <si>
    <t>Rubisco_Activity_Time_min</t>
  </si>
  <si>
    <t>Buffer_Type</t>
  </si>
  <si>
    <t>Buffer_mM</t>
  </si>
  <si>
    <t>MgCl2_mM</t>
  </si>
  <si>
    <t>DTT_mM</t>
  </si>
  <si>
    <t>B_mercaptoethanol_mM</t>
  </si>
  <si>
    <t>EDTA_mM</t>
  </si>
  <si>
    <t>RuBP_mM</t>
  </si>
  <si>
    <t>NaH14CO3_20mM</t>
  </si>
  <si>
    <t>KHCO3_mM</t>
  </si>
  <si>
    <t>ATP_mM</t>
  </si>
  <si>
    <t>Phosphocreatine_mM</t>
  </si>
  <si>
    <t>NADH_mM</t>
  </si>
  <si>
    <t>pH</t>
  </si>
  <si>
    <t>Temperature_C</t>
  </si>
  <si>
    <t>Other Assay Reagents</t>
  </si>
  <si>
    <t>Sample_Source</t>
  </si>
  <si>
    <t>MacIntyre et al. 1997</t>
  </si>
  <si>
    <t>Chlamydomonadales</t>
  </si>
  <si>
    <t>Dunaliellaceae</t>
  </si>
  <si>
    <t>NA</t>
  </si>
  <si>
    <t>Dunaliella tertiolecta</t>
  </si>
  <si>
    <t>This compares total activity values from dark incubated to 20 min light treated samples; data points approximated using SplineCloud plot digitizer, from figure 6A</t>
  </si>
  <si>
    <t>g C / g chl * hr</t>
  </si>
  <si>
    <t>Radiolabelled CO2</t>
  </si>
  <si>
    <t>Bicine</t>
  </si>
  <si>
    <t>0.2% Triton-X-100, 15mg/ml PVPP, 10mM glutathione, 4mM e-amino-n-caproic acid</t>
  </si>
  <si>
    <t>crude Algae</t>
  </si>
  <si>
    <t>Mouget et al. 1991</t>
  </si>
  <si>
    <t>Sphaeropleales</t>
  </si>
  <si>
    <t>Scenedesmaceae</t>
  </si>
  <si>
    <t>Scenedesmus ecornis</t>
  </si>
  <si>
    <t>This compares total activity values from light and dark; data points approximated using SplineCloud plot digitizer, from figure 1</t>
  </si>
  <si>
    <t>umol CO2 / mg chl * hr</t>
  </si>
  <si>
    <t>2.5mM ascorbate, 0.75% PVP</t>
  </si>
  <si>
    <t>crude algae</t>
  </si>
  <si>
    <t>Snir et al. 2007</t>
  </si>
  <si>
    <t>Nymphaeales</t>
  </si>
  <si>
    <t>Nymphaeaceae</t>
  </si>
  <si>
    <t>Nuphar lutea</t>
  </si>
  <si>
    <t>This compares total activity values in a simulated day night cycle; data points approximated using SplineCloud plot digitizer, from Fig5b</t>
  </si>
  <si>
    <t>mol CO2 / m^2 * s</t>
  </si>
  <si>
    <t>HEPES</t>
  </si>
  <si>
    <t>Carbon labelled CO2 rather than NaHCO3, 7.5 wilbur anderson units carbonic anhydrase</t>
  </si>
  <si>
    <t>crude leaf</t>
  </si>
  <si>
    <t>Vu et al. 1984</t>
  </si>
  <si>
    <t>Alismatales</t>
  </si>
  <si>
    <t>Hydrocharitaceae</t>
  </si>
  <si>
    <t xml:space="preserve">Hydrilloideae </t>
  </si>
  <si>
    <t>Hydrilla verticillata</t>
  </si>
  <si>
    <t>Royle</t>
  </si>
  <si>
    <t>This compares total activity values from light and dark. Table II</t>
  </si>
  <si>
    <t>umol CO2 /mg chl * hr</t>
  </si>
  <si>
    <t>Tris HCl</t>
  </si>
  <si>
    <t>Seeman et al. 1988</t>
  </si>
  <si>
    <t>Araceae</t>
  </si>
  <si>
    <t>Aroideae</t>
  </si>
  <si>
    <t>Colocasieae</t>
  </si>
  <si>
    <t>Alocasia macrorrhiza</t>
  </si>
  <si>
    <t>G. Don</t>
  </si>
  <si>
    <t>This compares total activity values from light and dark; data points approximated using SplineCloud plot digitizer, from figure 1B</t>
  </si>
  <si>
    <t>mol CO2 / mole Rubisco * s</t>
  </si>
  <si>
    <t>Seemann 1989</t>
  </si>
  <si>
    <t>Don</t>
  </si>
  <si>
    <t>This compares total activity values from light and dark;  data points approximated using SplineCloud plot digitizer, from Figure 3B</t>
  </si>
  <si>
    <t>mol CO2 / mol Rubisco * s</t>
  </si>
  <si>
    <t>crude Leaf</t>
  </si>
  <si>
    <t>Li et al. 2008</t>
  </si>
  <si>
    <t>Asparagales</t>
  </si>
  <si>
    <t>Orchidaceae</t>
  </si>
  <si>
    <t>Epidendroideae</t>
  </si>
  <si>
    <t>Vandeae</t>
  </si>
  <si>
    <t>Arachnis x Ascocentrum x Vanda</t>
  </si>
  <si>
    <t>Mokara Yellow</t>
  </si>
  <si>
    <t>This compares total activity values in predawn ot midday; data points approximated using SplineCloud plot digitizer, from Figure 2b</t>
  </si>
  <si>
    <t>nmol CO2 / mg protein * min</t>
  </si>
  <si>
    <t>2% glycerol</t>
  </si>
  <si>
    <t>Poales</t>
  </si>
  <si>
    <t>Bromeliaceae</t>
  </si>
  <si>
    <t>Bromelioideae</t>
  </si>
  <si>
    <t>Bromelia pinguin</t>
  </si>
  <si>
    <t>Ananas comosus</t>
  </si>
  <si>
    <t>Servaites et al. 1986</t>
  </si>
  <si>
    <t>Cyperaceae</t>
  </si>
  <si>
    <t>Cyperoideae</t>
  </si>
  <si>
    <t>Cypereae</t>
  </si>
  <si>
    <t>Cyperus esculentus</t>
  </si>
  <si>
    <t>This compares total activity values from predawn and midday samples. From table I</t>
  </si>
  <si>
    <t>umol CO2 / min * mg protein</t>
  </si>
  <si>
    <t>Sage and Seemann 1993</t>
  </si>
  <si>
    <t xml:space="preserve">Cyperus iria </t>
  </si>
  <si>
    <t>This compares total activity values from high and low light, from table II</t>
  </si>
  <si>
    <t>mol CO2 / mol rubisco * s</t>
  </si>
  <si>
    <t>0.3 unit /mL Ru5P kinase, 1unit / mL phosphoribuloisomerase, 1.6mM ru5P</t>
  </si>
  <si>
    <t>Bowes et al. 1990</t>
  </si>
  <si>
    <t>Poaceae</t>
  </si>
  <si>
    <t>Oryzoideae</t>
  </si>
  <si>
    <t>Oryzeae</t>
  </si>
  <si>
    <t>Oryza sativa</t>
  </si>
  <si>
    <t>Gulfmont</t>
  </si>
  <si>
    <t>This compares total activity values from light and dark; from table I; Paper finds variation in dark inhibition across growth stages</t>
  </si>
  <si>
    <t>mol CO2 / mg protein * hr</t>
  </si>
  <si>
    <t>0.1mM 6-phosphogluconate</t>
  </si>
  <si>
    <t>IR-30</t>
  </si>
  <si>
    <t>Labelle</t>
  </si>
  <si>
    <t>Lebonnet</t>
  </si>
  <si>
    <t>Lemont</t>
  </si>
  <si>
    <t>Tebonnet</t>
  </si>
  <si>
    <t>Rowland-Bamfer et al. 1991</t>
  </si>
  <si>
    <t xml:space="preserve">This compares total activity values from light and dark; data points approximated using SplineCloud plot digitizer, from Figure 3 160umol CO2 </t>
  </si>
  <si>
    <t>10mM isoascorbate</t>
  </si>
  <si>
    <t>Vu et al. 1997</t>
  </si>
  <si>
    <t>IR-72</t>
  </si>
  <si>
    <t>This compares total activity values from light and dark; from table 1 330umol Co2, and table 2 350umol CO2</t>
  </si>
  <si>
    <t>umol CO2 / g leaf FW * hr</t>
  </si>
  <si>
    <t>Pooideae</t>
  </si>
  <si>
    <t>Triticeae</t>
  </si>
  <si>
    <t>Hordeum vulgare</t>
  </si>
  <si>
    <t>Triticum aestivum</t>
  </si>
  <si>
    <t>Florida 301</t>
  </si>
  <si>
    <t>Chloridoideae</t>
  </si>
  <si>
    <t>Zoysieae</t>
  </si>
  <si>
    <t>Zoysia japonica</t>
  </si>
  <si>
    <t>Carmo-Silva et al. 2010</t>
  </si>
  <si>
    <t>Jacklin Sunrise Brand</t>
  </si>
  <si>
    <t>This compares total activity values from dark and light adapted leaf samples. From table 2</t>
  </si>
  <si>
    <t>mmol CO2 /min*mg Rubisco</t>
  </si>
  <si>
    <t>0.3% PEG, 0.05% protease inhibitor cocktail, 0.25% PVP</t>
  </si>
  <si>
    <t>Cynodonteae</t>
  </si>
  <si>
    <t>Cynodon dactylon</t>
  </si>
  <si>
    <t>Shangri-La</t>
  </si>
  <si>
    <t>Panicoideae</t>
  </si>
  <si>
    <t>Paniceae</t>
  </si>
  <si>
    <t>Janochloa antidotalis</t>
  </si>
  <si>
    <t>Panicum bisulcatum</t>
  </si>
  <si>
    <t>Panicum miliaceum</t>
  </si>
  <si>
    <t xml:space="preserve">Urochloa texana </t>
  </si>
  <si>
    <t>Blake</t>
  </si>
  <si>
    <t>Megathyrsus maximus</t>
  </si>
  <si>
    <t xml:space="preserve">Digitaria sanguinalis </t>
  </si>
  <si>
    <t>Paspaleae</t>
  </si>
  <si>
    <t>Rugoloa polygonata</t>
  </si>
  <si>
    <t>Rugoloa hylaeica</t>
  </si>
  <si>
    <t>Steinchisma hians</t>
  </si>
  <si>
    <t>Paspalum dilatatum</t>
  </si>
  <si>
    <t>Raki</t>
  </si>
  <si>
    <t>Andropogoneae</t>
  </si>
  <si>
    <t xml:space="preserve">Zea mays </t>
  </si>
  <si>
    <t>McCurdy 84aa</t>
  </si>
  <si>
    <t>Seemann et al. 1985</t>
  </si>
  <si>
    <t>This compares total activity values from light and dark. From table I</t>
  </si>
  <si>
    <t xml:space="preserve">Sorghum bicolor </t>
  </si>
  <si>
    <t>Funks G-522</t>
  </si>
  <si>
    <t>Asterales</t>
  </si>
  <si>
    <t>Asteraceae</t>
  </si>
  <si>
    <t>Cichorioideae</t>
  </si>
  <si>
    <t>Cichorieae</t>
  </si>
  <si>
    <t>Lactuca sativa</t>
  </si>
  <si>
    <t>Taraxacum officinale</t>
  </si>
  <si>
    <t>Asteroideae</t>
  </si>
  <si>
    <t>Heliantheae</t>
  </si>
  <si>
    <t>Zinnia hybrida</t>
  </si>
  <si>
    <t>Geraea canescens</t>
  </si>
  <si>
    <t>Helianthus annuus</t>
  </si>
  <si>
    <t>Xanthium strumarium</t>
  </si>
  <si>
    <t>Tageteae</t>
  </si>
  <si>
    <t xml:space="preserve">Flaveria trinervia </t>
  </si>
  <si>
    <t>Solanales</t>
  </si>
  <si>
    <t>Solanaceae</t>
  </si>
  <si>
    <t>Petunioideae</t>
  </si>
  <si>
    <t>Petunieae</t>
  </si>
  <si>
    <t>Petunia hvbrida</t>
  </si>
  <si>
    <t>Salvucci and Anderson 1987</t>
  </si>
  <si>
    <t>Nicotianoideae</t>
  </si>
  <si>
    <t>Nicotianeae</t>
  </si>
  <si>
    <t>Nicotiana rustica</t>
  </si>
  <si>
    <t>pulmila</t>
  </si>
  <si>
    <t>This compares total activity values from light and dark treated protoplasts; data points approximated using SplineCloud plot digitizer, from figurer 1 , 2, and 3a</t>
  </si>
  <si>
    <t>Tricine</t>
  </si>
  <si>
    <t>0.1% Casein, 0.1% Trtion X-100</t>
  </si>
  <si>
    <t>Protoplast</t>
  </si>
  <si>
    <t>Nicotiana tabacum</t>
  </si>
  <si>
    <t>Wisconsin 38</t>
  </si>
  <si>
    <t>Servaites 1985</t>
  </si>
  <si>
    <t>Virginia Gold</t>
  </si>
  <si>
    <t>units/mg enzyme</t>
  </si>
  <si>
    <t>Purified leaf rubisco</t>
  </si>
  <si>
    <t>Mate et al. 1993</t>
  </si>
  <si>
    <t>Klein</t>
  </si>
  <si>
    <t>This compares total activity values from light and dark from table III</t>
  </si>
  <si>
    <t>Parry et al. 1993</t>
  </si>
  <si>
    <t>This compares total activity values from daylight and predawn dark; data points approximated using SplineCloud plot digitizer, from Figure 2c</t>
  </si>
  <si>
    <t>mmol CO2 / kg protein * s</t>
  </si>
  <si>
    <t>RT</t>
  </si>
  <si>
    <t>0.1mM phenylmethylsulphonyl flouride</t>
  </si>
  <si>
    <t>Parry et al. 1997</t>
  </si>
  <si>
    <t>This compares total activity values from no light to light activity in figure 2</t>
  </si>
  <si>
    <t>nmoles CO2 / min * mg protein</t>
  </si>
  <si>
    <t>0.001 phenylmethylsulphonyl flouride</t>
  </si>
  <si>
    <t>Carmo-Silva and Salvucci 2013</t>
  </si>
  <si>
    <t>Petit Havana</t>
  </si>
  <si>
    <t>This compares total activity values high and low light treated leaf samples; from table I</t>
  </si>
  <si>
    <t>umol CO2 /min * mg protein</t>
  </si>
  <si>
    <t>0.4% PVP, 0.08mM PMSF, 0.8uM Leupeptin, 0.48% PEG</t>
  </si>
  <si>
    <t>Solanoideae</t>
  </si>
  <si>
    <t>Capsiceae</t>
  </si>
  <si>
    <t>Capsicum frutecens</t>
  </si>
  <si>
    <t>Physaleae</t>
  </si>
  <si>
    <t>Physalis pruinosa</t>
  </si>
  <si>
    <t>Solaneae</t>
  </si>
  <si>
    <t>Solanum dulcamara</t>
  </si>
  <si>
    <t>Solanum nigrum</t>
  </si>
  <si>
    <t>Solanum lycopersicum</t>
  </si>
  <si>
    <t>Better Boy</t>
  </si>
  <si>
    <t>Solanum tuberosum</t>
  </si>
  <si>
    <t>Phureja</t>
  </si>
  <si>
    <t>Solanum melongena</t>
  </si>
  <si>
    <t>Caryophyllales</t>
  </si>
  <si>
    <t>Amaranthaceae</t>
  </si>
  <si>
    <t>Amaranthoideae</t>
  </si>
  <si>
    <t xml:space="preserve">Amaranthus retroflexus </t>
  </si>
  <si>
    <t>Amaranthus tricolor</t>
  </si>
  <si>
    <t>Betoideae</t>
  </si>
  <si>
    <t>Beteae</t>
  </si>
  <si>
    <t>Beta vulgaris</t>
  </si>
  <si>
    <t>Kobza and Seemann 1988</t>
  </si>
  <si>
    <t>This compares total activity values from light and dark; data points approximated using SplineCloud plot digitizer, from figures 1B, 2B, and 3B</t>
  </si>
  <si>
    <t>Kobza and Seemann 1989a</t>
  </si>
  <si>
    <t>SSBN1</t>
  </si>
  <si>
    <t>This compares total activity values from light and dark; data points approximated using SplineCloud plot digitizer, from figures 2A, 3A, and 4A</t>
  </si>
  <si>
    <t>Kobza and Seemann 1989b</t>
  </si>
  <si>
    <t>This compares total activity values from light and dark; these are estimates from figures 1C, 2C, and 3C</t>
  </si>
  <si>
    <t>Servaites et al. 1991</t>
  </si>
  <si>
    <t>umol CO2 / m^2 * s</t>
  </si>
  <si>
    <t>20mM KCl</t>
  </si>
  <si>
    <t>Chenopodioideae</t>
  </si>
  <si>
    <t>Anserineae</t>
  </si>
  <si>
    <t>Spinacia oleracea</t>
  </si>
  <si>
    <t>Polka</t>
  </si>
  <si>
    <t>Campbell and Ogren 1990</t>
  </si>
  <si>
    <t>This compares total activity values from light and dark; this paper found no significant between rubisco total activty from dark, low light and high light treatments</t>
  </si>
  <si>
    <t>Traces of ATP, PEP, pyruvate kinase</t>
  </si>
  <si>
    <t>crude chloroplast</t>
  </si>
  <si>
    <t>Chenopodieae</t>
  </si>
  <si>
    <t>Chenopodium album</t>
  </si>
  <si>
    <t>Sage et al. 1993</t>
  </si>
  <si>
    <t>This compares total activity values from light and dark; from Table 2; supplemental material shows evidence of sig. different kcat of activation temp for rubisco</t>
  </si>
  <si>
    <t>4mM amino-caproic acid, 08mM benzamide, 0.1% BSA, 1.5% PVP</t>
  </si>
  <si>
    <t xml:space="preserve">Atriplex pentandra </t>
  </si>
  <si>
    <t>Aizoaceae</t>
  </si>
  <si>
    <t>Mesembryanthemoideae</t>
  </si>
  <si>
    <t>Mesembryanthemum crystallinum</t>
  </si>
  <si>
    <t>Portulacaceae</t>
  </si>
  <si>
    <t>Portulaca grandiflora</t>
  </si>
  <si>
    <t xml:space="preserve">Portulaca oleracea </t>
  </si>
  <si>
    <t>Saxifragales</t>
  </si>
  <si>
    <t>Crassulaceae</t>
  </si>
  <si>
    <t>Crassuloideae</t>
  </si>
  <si>
    <t>Crassula argentea</t>
  </si>
  <si>
    <t>Kalanchoideae</t>
  </si>
  <si>
    <t>Kalanchoe blossfeldiana</t>
  </si>
  <si>
    <t>Maxwell et al. 1999</t>
  </si>
  <si>
    <t>Kalanchoe daigremontiana</t>
  </si>
  <si>
    <t>Hamet et Perr</t>
  </si>
  <si>
    <t>This compares total activity values from predawn and midday activities. Data points approximated using SplineCloud plot digitizer, from figure 5A</t>
  </si>
  <si>
    <t>umol CO2/m^2*s</t>
  </si>
  <si>
    <t>0.6% PVP, 3% PEG, 0.5% Tween, 20mM PMSF, 100mg/ml PVPP</t>
  </si>
  <si>
    <t>Maxwell et al. 2002</t>
  </si>
  <si>
    <t>This compares total activity values from predawn and highest day values. Data points approximated using SplineCloud plot digitizer, from figures 3a, 6c, and 8b</t>
  </si>
  <si>
    <t>HEPES KOH</t>
  </si>
  <si>
    <t>PVPP, PEG, Tween, PVP</t>
  </si>
  <si>
    <t>Sempervivoideae</t>
  </si>
  <si>
    <t>Telephieae</t>
  </si>
  <si>
    <t>Hylotelephium spectable</t>
  </si>
  <si>
    <t>Myrtales</t>
  </si>
  <si>
    <t>Onagraceae</t>
  </si>
  <si>
    <t>Onagroideae</t>
  </si>
  <si>
    <t>Onagreae</t>
  </si>
  <si>
    <t>Camissonia brevipes</t>
  </si>
  <si>
    <t>Cucurbitales</t>
  </si>
  <si>
    <t>Cucurbitaceae</t>
  </si>
  <si>
    <t>Cucurbitoideae</t>
  </si>
  <si>
    <t>Cucurbiteae</t>
  </si>
  <si>
    <t>Cucurbita pepo</t>
  </si>
  <si>
    <t>Benincaseae</t>
  </si>
  <si>
    <t>Cucumis sativus</t>
  </si>
  <si>
    <t>Rosales</t>
  </si>
  <si>
    <t>Moraceae</t>
  </si>
  <si>
    <t>Ficeae</t>
  </si>
  <si>
    <t>Ficus elastica</t>
  </si>
  <si>
    <t>Decora</t>
  </si>
  <si>
    <t>% maximum</t>
  </si>
  <si>
    <t>Holbrook 1992</t>
  </si>
  <si>
    <t>Fabales</t>
  </si>
  <si>
    <t>Fabaceae</t>
  </si>
  <si>
    <t>Cercidoideae</t>
  </si>
  <si>
    <t>Bauhinieae</t>
  </si>
  <si>
    <t>Bauhinia galpinii</t>
  </si>
  <si>
    <t>This compares total activity values from predawn and midday leaf samples; from table 1</t>
  </si>
  <si>
    <t>umol CO2 / mg protein*h</t>
  </si>
  <si>
    <t>10mM isoascorbic acid</t>
  </si>
  <si>
    <t>Caesalpinioideae</t>
  </si>
  <si>
    <t>Cassieae</t>
  </si>
  <si>
    <t>Cassia marilandica</t>
  </si>
  <si>
    <t>Shirke &amp; Pathre 2004</t>
  </si>
  <si>
    <t>Mimosoideae</t>
  </si>
  <si>
    <t>Neltuma julifora</t>
  </si>
  <si>
    <t>This compares total activity values from peak diurnal activity in SPring samples at 12hrs (full light) versus 24hrs (dark); data points approximated using SplineCloud plot digitizer, from fig 1c</t>
  </si>
  <si>
    <t xml:space="preserve">Mimosa diplotricha </t>
  </si>
  <si>
    <t xml:space="preserve">Desmanthus illinoensis </t>
  </si>
  <si>
    <t xml:space="preserve">Desmanthus virgatus </t>
  </si>
  <si>
    <t>Faboideae</t>
  </si>
  <si>
    <t>Amorpheae</t>
  </si>
  <si>
    <t>Amorpha fruticosa</t>
  </si>
  <si>
    <t xml:space="preserve">Dalea leporina </t>
  </si>
  <si>
    <t>Dalbergieae</t>
  </si>
  <si>
    <t>Adesmia exilis</t>
  </si>
  <si>
    <t>Adesmia muricata</t>
  </si>
  <si>
    <t>Zornia braziliensis</t>
  </si>
  <si>
    <t>Aeschynomene indica</t>
  </si>
  <si>
    <t>Arachis hypogaea</t>
  </si>
  <si>
    <t>Stylosanthes hamata</t>
  </si>
  <si>
    <t>Sophoreae</t>
  </si>
  <si>
    <t>Sophora alopecuroides</t>
  </si>
  <si>
    <t>Sophora chrysophylla</t>
  </si>
  <si>
    <t>Sophora sp.</t>
  </si>
  <si>
    <t>Crotalarieae</t>
  </si>
  <si>
    <t xml:space="preserve">Crotalaria juncea </t>
  </si>
  <si>
    <t xml:space="preserve">Lotononis bainesii </t>
  </si>
  <si>
    <t>Genisteae</t>
  </si>
  <si>
    <t>Lupinus albus</t>
  </si>
  <si>
    <t xml:space="preserve">Lupinus albicaulis </t>
  </si>
  <si>
    <t xml:space="preserve">Lupinus perennis </t>
  </si>
  <si>
    <t>Lupinus polyphyllus</t>
  </si>
  <si>
    <t>Lupinus sericeus</t>
  </si>
  <si>
    <t>Russell's perennial mixed lupins</t>
  </si>
  <si>
    <t xml:space="preserve">Laburnum alpinum </t>
  </si>
  <si>
    <t xml:space="preserve">Genista tinctoria </t>
  </si>
  <si>
    <t>Robineae</t>
  </si>
  <si>
    <t>Robinia pseudoacacia</t>
  </si>
  <si>
    <t>Sesbanieae</t>
  </si>
  <si>
    <t>Sesbania sesban</t>
  </si>
  <si>
    <t>Loteae</t>
  </si>
  <si>
    <t>Ornithopus compressus</t>
  </si>
  <si>
    <t>Tetragonolobus purpureus</t>
  </si>
  <si>
    <t>Coronilla scorpioides</t>
  </si>
  <si>
    <t>Coronilla varia</t>
  </si>
  <si>
    <t>Lotus caucasicus</t>
  </si>
  <si>
    <t>Lotus corniculatus</t>
  </si>
  <si>
    <t>Glycyrrhizaea</t>
  </si>
  <si>
    <t>Glycyrrhiza echinata</t>
  </si>
  <si>
    <t>Glycyrrhiza sp</t>
  </si>
  <si>
    <t>Cicereae</t>
  </si>
  <si>
    <t>Cicer arietinum</t>
  </si>
  <si>
    <t>Garbanzo bean</t>
  </si>
  <si>
    <t>Galegeae</t>
  </si>
  <si>
    <t xml:space="preserve">Galega orientalis </t>
  </si>
  <si>
    <t>Vicieae</t>
  </si>
  <si>
    <t>Vicia dasycarpa</t>
  </si>
  <si>
    <t>Vicia sativa</t>
  </si>
  <si>
    <t>Vicia hybrida</t>
  </si>
  <si>
    <t>Vicia faba</t>
  </si>
  <si>
    <t>Long Pod</t>
  </si>
  <si>
    <t>Mammoth</t>
  </si>
  <si>
    <t>Vicia ervilia</t>
  </si>
  <si>
    <t>Lens culinaris</t>
  </si>
  <si>
    <t>Green lentil</t>
  </si>
  <si>
    <t>Lentil</t>
  </si>
  <si>
    <t>Lathyrus odoratus</t>
  </si>
  <si>
    <t>Lathyrus sativus</t>
  </si>
  <si>
    <t>Sweet pea, royal family mix</t>
  </si>
  <si>
    <t>Pisum fulvum</t>
  </si>
  <si>
    <t xml:space="preserve">Pisum elatius </t>
  </si>
  <si>
    <t>Pisum sativum</t>
  </si>
  <si>
    <t>Jomardii</t>
  </si>
  <si>
    <t>A1078-234</t>
  </si>
  <si>
    <t>A73-91</t>
  </si>
  <si>
    <t>A83-22 (Slow)</t>
  </si>
  <si>
    <t>Abyssinicum</t>
  </si>
  <si>
    <t>Alaska</t>
  </si>
  <si>
    <t>J1 1794</t>
  </si>
  <si>
    <t>Melting sugar pea</t>
  </si>
  <si>
    <t>PI 179449</t>
  </si>
  <si>
    <t>Progress No.9</t>
  </si>
  <si>
    <t>Syriacum</t>
  </si>
  <si>
    <t>Trifoliae</t>
  </si>
  <si>
    <t xml:space="preserve">Ononis natrix </t>
  </si>
  <si>
    <t>Ononis pubescens</t>
  </si>
  <si>
    <t>Trifolium glomeratum</t>
  </si>
  <si>
    <t>Trifolium repens</t>
  </si>
  <si>
    <t>Trifolium pratense</t>
  </si>
  <si>
    <t>Medicago sativa</t>
  </si>
  <si>
    <t>Melilotus albus</t>
  </si>
  <si>
    <t>Melilotus officinalis</t>
  </si>
  <si>
    <t>Trigonella foenum-graecum</t>
  </si>
  <si>
    <t>Hedysareae</t>
  </si>
  <si>
    <t>Hedysarum alpinum</t>
  </si>
  <si>
    <t>Hedysarum coronarium</t>
  </si>
  <si>
    <t>Onobrychis viciifolia</t>
  </si>
  <si>
    <t>Astragalaeae</t>
  </si>
  <si>
    <t>Oxytropis lambertii</t>
  </si>
  <si>
    <t>Oxytropis pilosa</t>
  </si>
  <si>
    <t>Astragalus cicer</t>
  </si>
  <si>
    <t>Indigofereae</t>
  </si>
  <si>
    <t>Indigofera sp.</t>
  </si>
  <si>
    <t>Cyamopsis tetragonoloba</t>
  </si>
  <si>
    <t>Abreae</t>
  </si>
  <si>
    <t>Abrus precatorius</t>
  </si>
  <si>
    <t>Millettieae</t>
  </si>
  <si>
    <t>Tephrosia polystachya</t>
  </si>
  <si>
    <t>Tephrosia villosa</t>
  </si>
  <si>
    <t>Desmodieae</t>
  </si>
  <si>
    <t>Lespedeza capitata</t>
  </si>
  <si>
    <t>Lespedeza daurica</t>
  </si>
  <si>
    <t>Desmodium adscendens</t>
  </si>
  <si>
    <t>Phaseoleae</t>
  </si>
  <si>
    <t xml:space="preserve">Pueraria lobata  </t>
  </si>
  <si>
    <t>kudzu</t>
  </si>
  <si>
    <t>Vu et al. 1983</t>
  </si>
  <si>
    <t>Glycine max</t>
  </si>
  <si>
    <t>Bragg</t>
  </si>
  <si>
    <t>This compares total activity values from light and dark; data points approximated using SplineCloud plot digitizer, from figures 1 and 2B</t>
  </si>
  <si>
    <t>Servaites et al. 1984</t>
  </si>
  <si>
    <t>Will</t>
  </si>
  <si>
    <t>This compares total activity values from midday and predawn; data points approximated using SplineCloud plot digitizer, from figure 2</t>
  </si>
  <si>
    <t>umol CO2 / mg protein * min</t>
  </si>
  <si>
    <t>Holbrook et al. 1987</t>
  </si>
  <si>
    <t>This compares total activity values from light and dark. from results and discussion section</t>
  </si>
  <si>
    <t>0.15% PVP-40, 1mM icoascorbic acid</t>
  </si>
  <si>
    <t>Vu et al. 1987</t>
  </si>
  <si>
    <t>This compares total activity values from predawn and midday samples; data points approximated using SplineCloud plot digitizer,  from figure 1b</t>
  </si>
  <si>
    <t>Williams</t>
  </si>
  <si>
    <t>Cobb</t>
  </si>
  <si>
    <t>Davies</t>
  </si>
  <si>
    <t>Gordon</t>
  </si>
  <si>
    <t>Hardee</t>
  </si>
  <si>
    <t>Pearcy and Seemann 1990</t>
  </si>
  <si>
    <t>This compares total activity values from 20 minutes high light after low light (&lt;25umol/m2*s); from table I</t>
  </si>
  <si>
    <t>mol CO2/ mol Rubisco * s</t>
  </si>
  <si>
    <t>Holbrook et al. 1994</t>
  </si>
  <si>
    <t>This compares total activity values from light and dark; from table 1</t>
  </si>
  <si>
    <t xml:space="preserve">umol CO2 / mg protein * hr </t>
  </si>
  <si>
    <t>Davis</t>
  </si>
  <si>
    <t>Kirby</t>
  </si>
  <si>
    <t>Heerden et al. 2003</t>
  </si>
  <si>
    <t>Fiskeby V</t>
  </si>
  <si>
    <t>This compares total activity values from night and day leaf samples; data points approximated using SplineCloud plot digitizer, from Fig 5a</t>
  </si>
  <si>
    <t>0.025mM PMSF, &lt;0.15mg PVPP</t>
  </si>
  <si>
    <t>Maple Arrow</t>
  </si>
  <si>
    <t>Vigna unguiculata</t>
  </si>
  <si>
    <t>Blackeye cowpea</t>
  </si>
  <si>
    <t>Cowpea</t>
  </si>
  <si>
    <t>Vigna acontifolia</t>
  </si>
  <si>
    <t>Vigna radiata</t>
  </si>
  <si>
    <t>Vigna mungo</t>
  </si>
  <si>
    <t>Sage 1993</t>
  </si>
  <si>
    <t xml:space="preserve">Phaseolus microcarpus </t>
  </si>
  <si>
    <t>PI# 535358</t>
  </si>
  <si>
    <t>This compares total molar activity values from light and dark treated leaf samples; from tables 1 &amp; 2</t>
  </si>
  <si>
    <t>phosphoriboisomerase, phosphorubulokinase, 1.5mM Ru5P</t>
  </si>
  <si>
    <t xml:space="preserve">Phaseolus glabellus </t>
  </si>
  <si>
    <t>PI# 535311</t>
  </si>
  <si>
    <t xml:space="preserve">Phaseolus grayanus </t>
  </si>
  <si>
    <t>PI# 535312</t>
  </si>
  <si>
    <t xml:space="preserve">Phaseolus xanthotrichus </t>
  </si>
  <si>
    <t>PI# 535452</t>
  </si>
  <si>
    <t xml:space="preserve">Phaseolus angustissimus </t>
  </si>
  <si>
    <t>PI# 535273</t>
  </si>
  <si>
    <t xml:space="preserve">Phaseolus filiformis </t>
  </si>
  <si>
    <t>PI# 535300</t>
  </si>
  <si>
    <t xml:space="preserve">Phaseolus leptostachyus </t>
  </si>
  <si>
    <t>PI# 535333</t>
  </si>
  <si>
    <t xml:space="preserve">Phaseolus maculatus </t>
  </si>
  <si>
    <t>PI# 535350</t>
  </si>
  <si>
    <t>Phaseolus lunatus</t>
  </si>
  <si>
    <t>Chilipuca negra</t>
  </si>
  <si>
    <t>Chilipuca zarda</t>
  </si>
  <si>
    <t>Henderson's Bush Lima</t>
  </si>
  <si>
    <t>PI# 200913</t>
  </si>
  <si>
    <t>Sharkey et al. 1986</t>
  </si>
  <si>
    <t>Phaseolus vulgaris</t>
  </si>
  <si>
    <t>Tendergreen</t>
  </si>
  <si>
    <t>This compares inhibitor free sites, based on total activity from Table IV</t>
  </si>
  <si>
    <t>inhibitor free sites</t>
  </si>
  <si>
    <t>Tender Green</t>
  </si>
  <si>
    <t>Linden</t>
  </si>
  <si>
    <t>This compares total activity values from light and dark; data points approximated using SplineCloud plot digitizer, from figures 1C, 2C, and 3C</t>
  </si>
  <si>
    <t>Commodore bush bean</t>
  </si>
  <si>
    <t>Kentucky wonder bean</t>
  </si>
  <si>
    <t>Sungold bush bean</t>
  </si>
  <si>
    <t>Aborigenous</t>
  </si>
  <si>
    <t>Black Turtle</t>
  </si>
  <si>
    <t>Blue Lake</t>
  </si>
  <si>
    <t>Burpee Golden</t>
  </si>
  <si>
    <t>Canario</t>
  </si>
  <si>
    <t>Jamapa</t>
  </si>
  <si>
    <t>Kentucky Wonder</t>
  </si>
  <si>
    <t>Panameno</t>
  </si>
  <si>
    <t>Peanut</t>
  </si>
  <si>
    <t>PI# 150413</t>
  </si>
  <si>
    <t>PI# 201010</t>
  </si>
  <si>
    <t>PI# 207141</t>
  </si>
  <si>
    <t>Poroto Blanco</t>
  </si>
  <si>
    <t>Provider</t>
  </si>
  <si>
    <t>Rocdor Bush Wax</t>
  </si>
  <si>
    <t>Tenderpod</t>
  </si>
  <si>
    <t>Phaseolus coccineus</t>
  </si>
  <si>
    <t>Emperor</t>
  </si>
  <si>
    <t>PI# 417585</t>
  </si>
  <si>
    <t xml:space="preserve">Phaseolus acutifolius </t>
  </si>
  <si>
    <t>PI #319445</t>
  </si>
  <si>
    <t>PI #440799</t>
  </si>
  <si>
    <t>PI# 53520</t>
  </si>
  <si>
    <t>Macroptilium atropurpureum</t>
  </si>
  <si>
    <t>Psoraleeae</t>
  </si>
  <si>
    <t>Psoralea cinerea</t>
  </si>
  <si>
    <t>Psoralea sp</t>
  </si>
  <si>
    <t>Psoralea tenax</t>
  </si>
  <si>
    <t>Malpighiales</t>
  </si>
  <si>
    <t>Clusiaceae</t>
  </si>
  <si>
    <t>Clusieae</t>
  </si>
  <si>
    <t>Clusia fluminensis</t>
  </si>
  <si>
    <t>Salvucci et al. 1985</t>
  </si>
  <si>
    <t>Brassicales</t>
  </si>
  <si>
    <t>Brassicaceae</t>
  </si>
  <si>
    <t>Brassicoideae</t>
  </si>
  <si>
    <t>Arabidopsideae</t>
  </si>
  <si>
    <t>Arabidopsis thaliana</t>
  </si>
  <si>
    <t>Columbia</t>
  </si>
  <si>
    <t>The paper claims that total rubisco activity between dark, low light, and full light samples did not differ</t>
  </si>
  <si>
    <t>Brooks and Portis 1988</t>
  </si>
  <si>
    <t>This compares total activity values from light and low light; No significant change in activity between low and high light was noted, but data not shown</t>
  </si>
  <si>
    <t>umol CO2 / min * mg rubisco</t>
  </si>
  <si>
    <t>0.05mM gloconate-6-P</t>
  </si>
  <si>
    <t>Camelinieae</t>
  </si>
  <si>
    <t>Camelina sativa</t>
  </si>
  <si>
    <t>Robinson</t>
  </si>
  <si>
    <t>Brassiceae</t>
  </si>
  <si>
    <t>Moricandia arvensis</t>
  </si>
  <si>
    <t>Moore et al. 1991</t>
  </si>
  <si>
    <t>This compares total moles  Rubisco active sites to moles CA1P present in predawn and midday samples; from Table II</t>
  </si>
  <si>
    <t>moles CA1P / mole Rubisco active site</t>
  </si>
  <si>
    <t>Radiolabelled CA1P</t>
  </si>
  <si>
    <t>Twin Spring</t>
  </si>
  <si>
    <t>Green Panic</t>
  </si>
  <si>
    <t>Golden hybrid</t>
  </si>
  <si>
    <t>Flaveria cronquistii</t>
  </si>
  <si>
    <t>Powell</t>
  </si>
  <si>
    <t>Mitchell</t>
  </si>
  <si>
    <t>Early Girl</t>
  </si>
  <si>
    <t>Henyh</t>
  </si>
  <si>
    <t>Helbling et al. 2011</t>
  </si>
  <si>
    <t>Thalassiosirales</t>
  </si>
  <si>
    <t>Thalassiosiraceae</t>
  </si>
  <si>
    <t>Thalassiosira weissflogii</t>
  </si>
  <si>
    <t>This compares total activity values from morning and midday values of algae; data points approximated using SplineCloud plot digitizer, from Fig 6A</t>
  </si>
  <si>
    <t>mAbs340 / mg * s</t>
  </si>
  <si>
    <t>3PGA-NADH Coupled</t>
  </si>
  <si>
    <t>22 units creatine phosphokinase, 9 units glyceraldehyde-3-phosphate dehydrogenase, 18 units 3-phosphoglyceric phosphokinase</t>
  </si>
  <si>
    <t>crude diatoms</t>
  </si>
  <si>
    <t>Peréz et al. 2005</t>
  </si>
  <si>
    <t>Areces</t>
  </si>
  <si>
    <t>This compares total activity values from peak diurnal activity in predawn and midday samples. these samples had high nitrogen availability; data points approximated using SplineCloud plot digitizer, from fig 3e</t>
  </si>
  <si>
    <t>52 units/ml phosphocreatine kinase, 12 units/ml phosphoglycerate kinase, 11 units/ml glyceraldehyde 3-phosphate dehydrogenase, &lt;2% PVPP</t>
  </si>
  <si>
    <t>Mckee et al. 2008</t>
  </si>
  <si>
    <t>Minaret</t>
  </si>
  <si>
    <t>This compares total activity values from predawn and highest day values. Data points approximated using SplineCloud plot digitizer, from figure 4</t>
  </si>
  <si>
    <t>PGK, phosphocreatine phosphokinase</t>
  </si>
  <si>
    <t>Besford 1984</t>
  </si>
  <si>
    <t>Findon Cross</t>
  </si>
  <si>
    <t>This compares total activity values from light and dark; data points approximated using SplineCloud plot digitizer, from figure 1c</t>
  </si>
  <si>
    <t>mol CO2 / min*mg crude protein</t>
  </si>
  <si>
    <t>3-pga-phosphokinase, glyceraldehyde 3-phosphate dehydrogenase, creatine phosphokinase</t>
  </si>
  <si>
    <t>Magda 2009</t>
  </si>
  <si>
    <t>Fagales</t>
  </si>
  <si>
    <t>Fagaceae</t>
  </si>
  <si>
    <t>Fagoideae</t>
  </si>
  <si>
    <t>Fagus sylvatica</t>
  </si>
  <si>
    <t>This compares total activity values from sun treated and shade treated leaves; from table 5 and 6 in section 4.1.1</t>
  </si>
  <si>
    <t>Ru5P, phosphoglycerate kinase, glyceraldehyde-3-phosphate dehydrogenase, creatine phosphokinase</t>
  </si>
  <si>
    <t>Sulpice et al. 2007</t>
  </si>
  <si>
    <t>This compares total activity values in a simulated day night cycle; data points approximated using SplineCloud plot digitizer, from Fig 4a</t>
  </si>
  <si>
    <t>nmol 3PGA/g*FW*min</t>
  </si>
  <si>
    <t>Traces of Triton X-100, HEPES, EGTA, benzamidine, e-aminocapronic acid, leupeptin, and PMSF; after NAD-dpeendant GAP-DH, Triose-P isomerase, glyderol-3-P dehydrogenase, glycerol-3-P oxidase, catalase</t>
  </si>
  <si>
    <t>Taxonomy Order #</t>
  </si>
  <si>
    <t>Taxonomy  Family #</t>
  </si>
  <si>
    <t>Taxonomy  Subfamily #</t>
  </si>
  <si>
    <t>Taxonomy  Tribe #</t>
  </si>
  <si>
    <t>Taxonomy Genus #</t>
  </si>
  <si>
    <t>Taxonomy Species #</t>
  </si>
  <si>
    <t>Average of Dark Inhibition</t>
  </si>
  <si>
    <t>StdDev of Dark Inhibition</t>
  </si>
  <si>
    <t>Table 1: Summary of Known SPecies Dark Inhibition levels by Phylogeny</t>
  </si>
  <si>
    <t>N/A</t>
  </si>
  <si>
    <t>Dunaliella</t>
  </si>
  <si>
    <t>Dark Inhibition</t>
  </si>
  <si>
    <t>Scenedesmus</t>
  </si>
  <si>
    <t>Nym</t>
  </si>
  <si>
    <t>0.84(VH)</t>
  </si>
  <si>
    <t xml:space="preserve">Car </t>
  </si>
  <si>
    <t>0.05(L)</t>
  </si>
  <si>
    <t>Nuphar</t>
  </si>
  <si>
    <t xml:space="preserve">Ali </t>
  </si>
  <si>
    <t>-0.07(L)</t>
  </si>
  <si>
    <t>0.46±0.19(H)</t>
  </si>
  <si>
    <t>Hydrilla</t>
  </si>
  <si>
    <t>0.39±0.00(M)</t>
  </si>
  <si>
    <t>0.00±0.10(L)</t>
  </si>
  <si>
    <t>Alocasia</t>
  </si>
  <si>
    <t>Asp</t>
  </si>
  <si>
    <t>0.17(L)</t>
  </si>
  <si>
    <t>-0.06±0.08(L)</t>
  </si>
  <si>
    <t>Arachnis</t>
  </si>
  <si>
    <t xml:space="preserve">Poa </t>
  </si>
  <si>
    <t>0.96(VH)</t>
  </si>
  <si>
    <t>0.01(L)</t>
  </si>
  <si>
    <t>Bromelia</t>
  </si>
  <si>
    <t>0.97(VH)</t>
  </si>
  <si>
    <t>0.23(M)</t>
  </si>
  <si>
    <t>Ananas</t>
  </si>
  <si>
    <t>-0.05(L)</t>
  </si>
  <si>
    <t>0.14±0.016(L)</t>
  </si>
  <si>
    <t>Cyperus</t>
  </si>
  <si>
    <t>0.11(L)</t>
  </si>
  <si>
    <t>-0.02(L)</t>
  </si>
  <si>
    <t>0.48±0.18(H)</t>
  </si>
  <si>
    <t xml:space="preserve">Sax </t>
  </si>
  <si>
    <t>0.45(H)</t>
  </si>
  <si>
    <t>Oryza</t>
  </si>
  <si>
    <t>0.03(L)</t>
  </si>
  <si>
    <t>-0.80(L)</t>
  </si>
  <si>
    <t>Hordeum</t>
  </si>
  <si>
    <t>-0.01±0.02(L)</t>
  </si>
  <si>
    <t>0.49(H)</t>
  </si>
  <si>
    <t>Triticum</t>
  </si>
  <si>
    <t>0.27±0.01(M)</t>
  </si>
  <si>
    <t>-0.30(L)</t>
  </si>
  <si>
    <t>Zoysia</t>
  </si>
  <si>
    <t>0.01±0.10(L)</t>
  </si>
  <si>
    <t>Myr</t>
  </si>
  <si>
    <t>0.00(L)</t>
  </si>
  <si>
    <t>Cynodon</t>
  </si>
  <si>
    <t>0.28(M)</t>
  </si>
  <si>
    <t xml:space="preserve">Cuc </t>
  </si>
  <si>
    <t>0.41(M)</t>
  </si>
  <si>
    <t>Panicum</t>
  </si>
  <si>
    <t>-0.01±0.04(L)</t>
  </si>
  <si>
    <t>0.62±0.16(H)</t>
  </si>
  <si>
    <t>-0.18(L)</t>
  </si>
  <si>
    <t xml:space="preserve">Ros </t>
  </si>
  <si>
    <t>0.54(H)</t>
  </si>
  <si>
    <t>Janochloa</t>
  </si>
  <si>
    <t xml:space="preserve">Fab </t>
  </si>
  <si>
    <t>0.43(M)</t>
  </si>
  <si>
    <t>Urochloa</t>
  </si>
  <si>
    <t>0.37±0.34(M)</t>
  </si>
  <si>
    <t>Senna marilandica</t>
  </si>
  <si>
    <t>0.36(M)</t>
  </si>
  <si>
    <t>Megathyrsus</t>
  </si>
  <si>
    <t>0.89(VH)</t>
  </si>
  <si>
    <t>Digitaria</t>
  </si>
  <si>
    <t>0.24(M)</t>
  </si>
  <si>
    <t>0.63(H)</t>
  </si>
  <si>
    <t>Rugoloa</t>
  </si>
  <si>
    <t>-0.04(L)</t>
  </si>
  <si>
    <t>0.37(M)</t>
  </si>
  <si>
    <t>0.10±0.34(L)</t>
  </si>
  <si>
    <t>0.15(L)</t>
  </si>
  <si>
    <t>Steinchisma</t>
  </si>
  <si>
    <t>0.00±0.06(L)</t>
  </si>
  <si>
    <t>0.39±0.15(M)</t>
  </si>
  <si>
    <t>Paspalum</t>
  </si>
  <si>
    <t>0.01±0.05(L)</t>
  </si>
  <si>
    <t>0.45±0.02(H)</t>
  </si>
  <si>
    <t>Zea</t>
  </si>
  <si>
    <t>0.06±0.05(L)</t>
  </si>
  <si>
    <t>0.60(H)</t>
  </si>
  <si>
    <t>Sorghum</t>
  </si>
  <si>
    <t xml:space="preserve">Ast </t>
  </si>
  <si>
    <t>0.16(L)</t>
  </si>
  <si>
    <t>0.56(H)</t>
  </si>
  <si>
    <t>Lactuca</t>
  </si>
  <si>
    <t>0.13(L)</t>
  </si>
  <si>
    <t>Taraxacum</t>
  </si>
  <si>
    <t>0.38(M)</t>
  </si>
  <si>
    <t>0.50(H)</t>
  </si>
  <si>
    <t>Zinnia</t>
  </si>
  <si>
    <t>0.09(L)</t>
  </si>
  <si>
    <t>Geraea</t>
  </si>
  <si>
    <t>0.39(M)</t>
  </si>
  <si>
    <t>0.65(H)</t>
  </si>
  <si>
    <t>Helianthus</t>
  </si>
  <si>
    <t>0.29(M)</t>
  </si>
  <si>
    <t>Xanthium</t>
  </si>
  <si>
    <t>Flaveria</t>
  </si>
  <si>
    <t xml:space="preserve">Sol </t>
  </si>
  <si>
    <t>0.47(H)</t>
  </si>
  <si>
    <t>Petunia</t>
  </si>
  <si>
    <t>0.58(H)</t>
  </si>
  <si>
    <t>0.33(M)</t>
  </si>
  <si>
    <t>Nicotiana</t>
  </si>
  <si>
    <t>0.54±0.09(H)</t>
  </si>
  <si>
    <t>0.32±0.32(M)</t>
  </si>
  <si>
    <t>0.53(H)</t>
  </si>
  <si>
    <t>0.00±0.00(L)</t>
  </si>
  <si>
    <t>Capsicum</t>
  </si>
  <si>
    <t>0.30(M)</t>
  </si>
  <si>
    <t>0.20(M)</t>
  </si>
  <si>
    <t>Physalis</t>
  </si>
  <si>
    <t>0.10(L)</t>
  </si>
  <si>
    <t>Solanum</t>
  </si>
  <si>
    <t>0.55(H)</t>
  </si>
  <si>
    <t>0.02(L)</t>
  </si>
  <si>
    <t>0.29±0.04(M)</t>
  </si>
  <si>
    <t>0.17±0.16(L)</t>
  </si>
  <si>
    <t>0.47±0,08(H)</t>
  </si>
  <si>
    <t>0.51±0.08(H)</t>
  </si>
  <si>
    <t>0.57(H)</t>
  </si>
  <si>
    <t>0.25(M)</t>
  </si>
  <si>
    <t>Amaranthus retroflexus</t>
  </si>
  <si>
    <t>-0.01(L)</t>
  </si>
  <si>
    <t>0.64(H)</t>
  </si>
  <si>
    <t>Amaranthus</t>
  </si>
  <si>
    <t>Table 1: Continued</t>
  </si>
  <si>
    <t>Beta</t>
  </si>
  <si>
    <t>0.62±025(H)</t>
  </si>
  <si>
    <t>Spinacia</t>
  </si>
  <si>
    <t>0.35(M)</t>
  </si>
  <si>
    <t>Chenopodium</t>
  </si>
  <si>
    <t>Atriplex</t>
  </si>
  <si>
    <t>0.27(M)</t>
  </si>
  <si>
    <t>0.62(H)</t>
  </si>
  <si>
    <t>Mesembryanthemum</t>
  </si>
  <si>
    <t>0.70(H)</t>
  </si>
  <si>
    <t>Portulaca</t>
  </si>
  <si>
    <t>0.52(H)</t>
  </si>
  <si>
    <t>0.75(H)</t>
  </si>
  <si>
    <t>Crassula</t>
  </si>
  <si>
    <t>Kalanchoe</t>
  </si>
  <si>
    <t>0.01±0.01(L)</t>
  </si>
  <si>
    <t>Hylotelephium</t>
  </si>
  <si>
    <t>0.41±0.16(M)</t>
  </si>
  <si>
    <t>Camissonia</t>
  </si>
  <si>
    <t>0.56±0.10(H)</t>
  </si>
  <si>
    <t>Cucurbita</t>
  </si>
  <si>
    <t>Cucumis</t>
  </si>
  <si>
    <t>0.07(L)</t>
  </si>
  <si>
    <t>0.55±0.34(H)</t>
  </si>
  <si>
    <t>Ficus</t>
  </si>
  <si>
    <t>0.08±0.12(L)</t>
  </si>
  <si>
    <t>Bauhinia</t>
  </si>
  <si>
    <t>0.82(VH)</t>
  </si>
  <si>
    <t>Cassia</t>
  </si>
  <si>
    <t>0.00±0.01(L)</t>
  </si>
  <si>
    <t>Neltuma</t>
  </si>
  <si>
    <t>0.74(H)</t>
  </si>
  <si>
    <t>Mimosa</t>
  </si>
  <si>
    <t>Desmanthus</t>
  </si>
  <si>
    <t>0.88(VH)</t>
  </si>
  <si>
    <t>Amorpha</t>
  </si>
  <si>
    <t>0.02±0.07(L)</t>
  </si>
  <si>
    <t>0.86±0.09(VH)</t>
  </si>
  <si>
    <t>Dalea</t>
  </si>
  <si>
    <t>0.31(M)</t>
  </si>
  <si>
    <t>0.80±0.07(VH)</t>
  </si>
  <si>
    <t>Adesmia</t>
  </si>
  <si>
    <t>0.34(M)</t>
  </si>
  <si>
    <t>0.70±0.14(H)</t>
  </si>
  <si>
    <t>0.27±0.17(M)</t>
  </si>
  <si>
    <t>0.92(VH)</t>
  </si>
  <si>
    <t>Zornia</t>
  </si>
  <si>
    <t>0.39±0.09(M)</t>
  </si>
  <si>
    <t>0.59±0.13(H)</t>
  </si>
  <si>
    <t>Aeschynomene</t>
  </si>
  <si>
    <t>0.55±0.10(H)</t>
  </si>
  <si>
    <t>Arachis</t>
  </si>
  <si>
    <t>0.29±0.12(M)</t>
  </si>
  <si>
    <t>Stylosanthes</t>
  </si>
  <si>
    <t>0.46(M)</t>
  </si>
  <si>
    <t>0.22(M)</t>
  </si>
  <si>
    <t>Sophora</t>
  </si>
  <si>
    <t>0.33±0.13(M)</t>
  </si>
  <si>
    <t xml:space="preserve">Mal </t>
  </si>
  <si>
    <t>0.85(VH)</t>
  </si>
  <si>
    <t>Crotalaria</t>
  </si>
  <si>
    <t>0.04(L)</t>
  </si>
  <si>
    <t xml:space="preserve">Bra </t>
  </si>
  <si>
    <t>0.02±0.03(L)</t>
  </si>
  <si>
    <t>Lotononis</t>
  </si>
  <si>
    <t>Lupinus</t>
  </si>
  <si>
    <t>0.06(L)</t>
  </si>
  <si>
    <t>0.26(M)</t>
  </si>
  <si>
    <t>Laburnum</t>
  </si>
  <si>
    <t>Genista</t>
  </si>
  <si>
    <t>Robinia</t>
  </si>
  <si>
    <t>Sesbania</t>
  </si>
  <si>
    <t>Ornithopus</t>
  </si>
  <si>
    <t>Tetragonolobus</t>
  </si>
  <si>
    <t>Coronilla</t>
  </si>
  <si>
    <t>Lotus</t>
  </si>
  <si>
    <t>Glycyrrhiza</t>
  </si>
  <si>
    <t>Cicer</t>
  </si>
  <si>
    <t>Galega</t>
  </si>
  <si>
    <t>Vicia</t>
  </si>
  <si>
    <t>Lens</t>
  </si>
  <si>
    <t>Lathyrus</t>
  </si>
  <si>
    <t>Pisum</t>
  </si>
  <si>
    <t>Ononis</t>
  </si>
  <si>
    <t>Trifolium</t>
  </si>
  <si>
    <t>Medicago</t>
  </si>
  <si>
    <t>Melilotus</t>
  </si>
  <si>
    <t>Trigonella</t>
  </si>
  <si>
    <t>Hedysarum</t>
  </si>
  <si>
    <t>Onobrychis</t>
  </si>
  <si>
    <t>Oxytropis</t>
  </si>
  <si>
    <t>Astragalus</t>
  </si>
  <si>
    <t>Indigofera</t>
  </si>
  <si>
    <t>Cyamopsis</t>
  </si>
  <si>
    <t>Abrus</t>
  </si>
  <si>
    <t>Tephrosia</t>
  </si>
  <si>
    <t>Lespedeza</t>
  </si>
  <si>
    <t>Desmodium</t>
  </si>
  <si>
    <t>Pueraria</t>
  </si>
  <si>
    <t>Glycine</t>
  </si>
  <si>
    <t>Vigna</t>
  </si>
  <si>
    <t>Phaseolus</t>
  </si>
  <si>
    <t>Macroptilium</t>
  </si>
  <si>
    <t>Psoralea</t>
  </si>
  <si>
    <t>Clusia</t>
  </si>
  <si>
    <t>Arabidopsis</t>
  </si>
  <si>
    <t>Camelina</t>
  </si>
  <si>
    <t>Moricandia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</si>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</sst>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54240"/>
      <name val="Calibri"/>
      <charset val="1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354240"/>
      <name val="Calibri"/>
      <family val="2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F0D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pivotButton="1"/>
    <xf numFmtId="2" fontId="0" fillId="0" borderId="0" xfId="0" applyNumberFormat="1"/>
    <xf numFmtId="2" fontId="0" fillId="0" borderId="0" xfId="0" applyNumberFormat="1" applyAlignment="1">
      <alignment horizontal="right"/>
    </xf>
    <xf numFmtId="164" fontId="3" fillId="2" borderId="0" xfId="0" applyNumberFormat="1" applyFont="1" applyFill="1"/>
    <xf numFmtId="0" fontId="0" fillId="0" borderId="0" xfId="0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6" fillId="0" borderId="2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8" fillId="0" borderId="3" xfId="0" applyFont="1" applyBorder="1" applyAlignment="1">
      <alignment wrapText="1"/>
    </xf>
    <xf numFmtId="2" fontId="8" fillId="0" borderId="3" xfId="0" applyNumberFormat="1" applyFont="1" applyBorder="1" applyAlignment="1">
      <alignment wrapText="1"/>
    </xf>
    <xf numFmtId="0" fontId="0" fillId="0" borderId="0" xfId="0" applyAlignment="1">
      <alignment horizontal="left" vertical="top"/>
    </xf>
    <xf numFmtId="0" fontId="0" fillId="0" borderId="1" xfId="0" applyBorder="1"/>
    <xf numFmtId="0" fontId="9" fillId="0" borderId="0" xfId="0" applyFont="1"/>
    <xf numFmtId="1" fontId="9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right"/>
    </xf>
    <xf numFmtId="165" fontId="9" fillId="0" borderId="0" xfId="0" applyNumberFormat="1" applyFont="1"/>
    <xf numFmtId="165" fontId="0" fillId="0" borderId="0" xfId="0" applyNumberFormat="1"/>
    <xf numFmtId="1" fontId="1" fillId="0" borderId="0" xfId="0" applyNumberFormat="1" applyFont="1"/>
    <xf numFmtId="1" fontId="5" fillId="0" borderId="0" xfId="0" applyNumberFormat="1" applyFont="1"/>
    <xf numFmtId="0" fontId="10" fillId="0" borderId="0" xfId="1" applyFont="1"/>
    <xf numFmtId="0" fontId="0" fillId="0" borderId="3" xfId="0" applyBorder="1" applyAlignment="1">
      <alignment horizontal="left"/>
    </xf>
  </cellXfs>
  <cellStyles count="2">
    <cellStyle name="Hyperlink" xfId="1" builtinId="8"/>
    <cellStyle name="Normal" xfId="0" builtinId="0"/>
  </cellStyles>
  <dxfs count="110">
    <dxf>
      <font>
        <color theme="1" tint="-0.499984740745262"/>
      </font>
      <fill>
        <patternFill patternType="solid">
          <bgColor rgb="FFFFEE80"/>
        </patternFill>
      </fill>
    </dxf>
    <dxf>
      <font>
        <color theme="0"/>
      </font>
      <fill>
        <patternFill patternType="solid">
          <bgColor rgb="FF32A354"/>
        </patternFill>
      </fill>
    </dxf>
    <dxf>
      <font>
        <color theme="1" tint="-0.499984740745262"/>
      </font>
      <fill>
        <patternFill patternType="solid">
          <bgColor rgb="FF96D831"/>
        </patternFill>
      </fill>
    </dxf>
    <dxf>
      <font>
        <color theme="0"/>
      </font>
      <fill>
        <patternFill patternType="solid">
          <bgColor rgb="FF3B4BCD"/>
        </patternFill>
      </fill>
    </dxf>
    <dxf>
      <font>
        <color theme="1" tint="-0.499984740745262"/>
      </font>
      <fill>
        <patternFill patternType="solid">
          <bgColor rgb="FFFFEE80"/>
        </patternFill>
      </fill>
    </dxf>
    <dxf>
      <font>
        <color theme="0"/>
      </font>
      <fill>
        <patternFill patternType="solid">
          <bgColor rgb="FF32A354"/>
        </patternFill>
      </fill>
    </dxf>
    <dxf>
      <font>
        <color theme="1" tint="-0.499984740745262"/>
      </font>
      <fill>
        <patternFill patternType="solid">
          <bgColor rgb="FF96D831"/>
        </patternFill>
      </fill>
    </dxf>
    <dxf>
      <font>
        <color theme="0"/>
      </font>
      <fill>
        <patternFill patternType="solid">
          <bgColor rgb="FF3B4BCD"/>
        </patternFill>
      </fill>
    </dxf>
    <dxf>
      <font>
        <color theme="1" tint="-0.499984740745262"/>
      </font>
      <fill>
        <patternFill patternType="solid">
          <bgColor rgb="FFFFEE80"/>
        </patternFill>
      </fill>
    </dxf>
    <dxf>
      <font>
        <color theme="0"/>
      </font>
      <fill>
        <patternFill patternType="solid">
          <bgColor rgb="FF32A354"/>
        </patternFill>
      </fill>
    </dxf>
    <dxf>
      <font>
        <color theme="1" tint="-0.499984740745262"/>
      </font>
      <fill>
        <patternFill patternType="solid">
          <bgColor rgb="FF96D831"/>
        </patternFill>
      </fill>
    </dxf>
    <dxf>
      <font>
        <color theme="0"/>
      </font>
      <fill>
        <patternFill patternType="solid">
          <bgColor rgb="FF3B4BCD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 patternType="solid">
          <bgColor theme="9" tint="0.59999389629810485"/>
        </patternFill>
      </fill>
    </dxf>
    <dxf>
      <font>
        <color rgb="FF594300"/>
      </font>
      <fill>
        <patternFill patternType="solid">
          <bgColor rgb="FFD9EBB9"/>
        </patternFill>
      </fill>
    </dxf>
    <dxf>
      <font>
        <color rgb="FF963000"/>
      </font>
      <fill>
        <patternFill patternType="solid">
          <bgColor rgb="FFFFE0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 patternType="solid">
          <bgColor rgb="FF32A354"/>
        </patternFill>
      </fill>
    </dxf>
    <dxf>
      <font>
        <color theme="0"/>
      </font>
      <fill>
        <patternFill patternType="solid">
          <bgColor rgb="FF3B4BCD"/>
        </patternFill>
      </fill>
    </dxf>
    <dxf>
      <font>
        <color theme="1" tint="-0.499984740745262"/>
      </font>
      <fill>
        <patternFill patternType="solid">
          <bgColor rgb="FFFFEE80"/>
        </patternFill>
      </fill>
    </dxf>
    <dxf>
      <font>
        <color theme="1" tint="-0.499984740745262"/>
      </font>
      <fill>
        <patternFill patternType="solid">
          <bgColor rgb="FF96D831"/>
        </patternFill>
      </fill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Medium9"/>
  <colors>
    <mruColors>
      <color rgb="FF3B4BCD"/>
      <color rgb="FFFDF0D2"/>
      <color rgb="FFFFEE80"/>
      <color rgb="FF32A354"/>
      <color rgb="FF96D831"/>
      <color rgb="FFFFE95C"/>
      <color rgb="FF148CA4"/>
      <color rgb="FFFDEF98"/>
      <color rgb="FFFFFFFF"/>
      <color rgb="FF55CF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8.64544699074" createdVersion="8" refreshedVersion="8" minRefreshableVersion="3" recordCount="314" xr:uid="{D7320ACA-EFC0-40E5-8835-0EF7931B032A}">
  <cacheSource type="worksheet">
    <worksheetSource ref="A1:AN315" sheet="Full Dataset"/>
  </cacheSource>
  <cacheFields count="40">
    <cacheField name="Source" numFmtId="0">
      <sharedItems/>
    </cacheField>
    <cacheField name="Year of Publication" numFmtId="0">
      <sharedItems containsSemiMixedTypes="0" containsString="0" containsNumber="1" containsInteger="1" minValue="1983" maxValue="2013"/>
    </cacheField>
    <cacheField name="Taxonomy Order #" numFmtId="0">
      <sharedItems containsSemiMixedTypes="0" containsString="0" containsNumber="1" containsInteger="1" minValue="-1" maxValue="48" count="15">
        <n v="-1"/>
        <n v="0"/>
        <n v="5"/>
        <n v="13"/>
        <n v="14"/>
        <n v="20"/>
        <n v="29"/>
        <n v="32"/>
        <n v="34"/>
        <n v="38"/>
        <n v="39"/>
        <n v="42"/>
        <n v="43"/>
        <n v="45"/>
        <n v="48"/>
      </sharedItems>
    </cacheField>
    <cacheField name="Taxonomy  Family #" numFmtId="0">
      <sharedItems containsSemiMixedTypes="0" containsString="0" containsNumber="1" containsInteger="1" minValue="1" maxValue="30" count="14">
        <n v="1"/>
        <n v="3"/>
        <n v="11"/>
        <n v="13"/>
        <n v="2"/>
        <n v="4"/>
        <n v="14"/>
        <n v="10"/>
        <n v="23"/>
        <n v="30"/>
        <n v="15"/>
        <n v="7"/>
        <n v="8"/>
        <n v="17"/>
      </sharedItems>
    </cacheField>
    <cacheField name="Taxonomy  Subfamily #" numFmtId="0">
      <sharedItems containsSemiMixedTypes="0" containsString="0" containsNumber="1" containsInteger="1" minValue="0" maxValue="12" count="12">
        <n v="0"/>
        <n v="1"/>
        <n v="4"/>
        <n v="8"/>
        <n v="5"/>
        <n v="2"/>
        <n v="6"/>
        <n v="11"/>
        <n v="12"/>
        <n v="10"/>
        <n v="7"/>
        <n v="3"/>
      </sharedItems>
    </cacheField>
    <cacheField name="Taxonomy  Tribe #" numFmtId="0">
      <sharedItems containsSemiMixedTypes="0" containsString="0" containsNumber="1" containsInteger="1" minValue="0" maxValue="45" count="34">
        <n v="0"/>
        <n v="1"/>
        <n v="22"/>
        <n v="4"/>
        <n v="2"/>
        <n v="3"/>
        <n v="6"/>
        <n v="10"/>
        <n v="11"/>
        <n v="12"/>
        <n v="5"/>
        <n v="13"/>
        <n v="15"/>
        <n v="7"/>
        <n v="8"/>
        <n v="9"/>
        <n v="16"/>
        <n v="23"/>
        <n v="24"/>
        <n v="25"/>
        <n v="27"/>
        <n v="28"/>
        <n v="29"/>
        <n v="30"/>
        <n v="31"/>
        <n v="32"/>
        <n v="34"/>
        <n v="35"/>
        <n v="36"/>
        <n v="38"/>
        <n v="43"/>
        <n v="44"/>
        <n v="45"/>
        <n v="42"/>
      </sharedItems>
    </cacheField>
    <cacheField name="Taxonomy Genus #" numFmtId="0">
      <sharedItems containsSemiMixedTypes="0" containsString="0" containsNumber="1" containsInteger="1" minValue="0" maxValue="111" count="37">
        <n v="1"/>
        <n v="22"/>
        <n v="111"/>
        <n v="4"/>
        <n v="6"/>
        <n v="19"/>
        <n v="2"/>
        <n v="79"/>
        <n v="18"/>
        <n v="20"/>
        <n v="21"/>
        <n v="36"/>
        <n v="5"/>
        <n v="33"/>
        <n v="7"/>
        <n v="44"/>
        <n v="69"/>
        <n v="85"/>
        <n v="29"/>
        <n v="32"/>
        <n v="37"/>
        <n v="42"/>
        <n v="8"/>
        <n v="3"/>
        <n v="0"/>
        <n v="9"/>
        <n v="16"/>
        <n v="12"/>
        <n v="26"/>
        <n v="27"/>
        <n v="11"/>
        <n v="14"/>
        <n v="43"/>
        <n v="46"/>
        <n v="61"/>
        <n v="62"/>
        <n v="71"/>
      </sharedItems>
    </cacheField>
    <cacheField name="Taxonomy Species #" numFmtId="0">
      <sharedItems containsSemiMixedTypes="0" containsString="0" containsNumber="1" containsInteger="1" minValue="0" maxValue="12" count="13">
        <n v="0"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Order" numFmtId="0">
      <sharedItems count="16">
        <s v="Chlamydomonadales"/>
        <s v="Sphaeropleales"/>
        <s v="Nymphaeales"/>
        <s v="Alismatales"/>
        <s v="Asparagales"/>
        <s v="Poales"/>
        <s v="Asterales"/>
        <s v="Solanales"/>
        <s v="Caryophyllales"/>
        <s v="Saxifragales"/>
        <s v="Myrtales"/>
        <s v="Cucurbitales"/>
        <s v="Rosales"/>
        <s v="Fabales"/>
        <s v="Malpighiales"/>
        <s v="Brassicales"/>
      </sharedItems>
    </cacheField>
    <cacheField name="Family" numFmtId="0">
      <sharedItems count="21">
        <s v="Dunaliellaceae"/>
        <s v="Scenedesmaceae"/>
        <s v="Nymphaeaceae"/>
        <s v="Hydrocharitaceae"/>
        <s v="Araceae"/>
        <s v="Orchidaceae"/>
        <s v="Bromeliaceae"/>
        <s v="Cyperaceae"/>
        <s v="Poaceae"/>
        <s v="Asteraceae"/>
        <s v="Solanaceae"/>
        <s v="Amaranthaceae"/>
        <s v="Aizoaceae"/>
        <s v="Portulacaceae"/>
        <s v="Crassulaceae"/>
        <s v="Onagraceae"/>
        <s v="Cucurbitaceae"/>
        <s v="Moraceae"/>
        <s v="Fabaceae"/>
        <s v="Clusiaceae"/>
        <s v="Brassicaceae"/>
      </sharedItems>
    </cacheField>
    <cacheField name="Subfamily" numFmtId="0">
      <sharedItems count="28">
        <s v="N/A"/>
        <s v="Hydrilloideae "/>
        <s v="Aroideae"/>
        <s v="Epidendroideae"/>
        <s v="Bromelioideae"/>
        <s v="Cyperoideae"/>
        <s v="Oryzoideae"/>
        <s v="Pooideae"/>
        <s v="Chloridoideae"/>
        <s v="Panicoideae"/>
        <s v="Cichorioideae"/>
        <s v="Asteroideae"/>
        <s v="Petunioideae"/>
        <s v="Nicotianoideae"/>
        <s v="Solanoideae"/>
        <s v="Amaranthoideae"/>
        <s v="Betoideae"/>
        <s v="Chenopodioideae"/>
        <s v="Mesembryanthemoideae"/>
        <s v="Crassuloideae"/>
        <s v="Kalanchoideae"/>
        <s v="Sempervivoideae"/>
        <s v="Onagroideae"/>
        <s v="Cucurbitoideae"/>
        <s v="Cercidoideae"/>
        <s v="Caesalpinioideae"/>
        <s v="Faboideae"/>
        <s v="Brassicoideae"/>
      </sharedItems>
    </cacheField>
    <cacheField name="Tribe" numFmtId="0">
      <sharedItems count="55">
        <s v="N/A"/>
        <s v="Colocasieae"/>
        <s v="Vandeae"/>
        <s v="Cypereae"/>
        <s v="Oryzeae"/>
        <s v="Triticeae"/>
        <s v="Zoysieae"/>
        <s v="Cynodonteae"/>
        <s v="Paniceae"/>
        <s v="Paspaleae"/>
        <s v="Andropogoneae"/>
        <s v="Cichorieae"/>
        <s v="Heliantheae"/>
        <s v="Tageteae"/>
        <s v="Petunieae"/>
        <s v="Nicotianeae"/>
        <s v="Capsiceae"/>
        <s v="Physaleae"/>
        <s v="Solaneae"/>
        <s v="Beteae"/>
        <s v="Anserineae"/>
        <s v="Chenopodieae"/>
        <s v="Telephieae"/>
        <s v="Onagreae"/>
        <s v="Cucurbiteae"/>
        <s v="Benincaseae"/>
        <s v="Ficeae"/>
        <s v="Bauhinieae"/>
        <s v="Cassieae"/>
        <s v="Mimosoideae"/>
        <s v="Amorpheae"/>
        <s v="Dalbergieae"/>
        <s v="Sophoreae"/>
        <s v="Crotalarieae"/>
        <s v="Genisteae"/>
        <s v="Robineae"/>
        <s v="Sesbanieae"/>
        <s v="Loteae"/>
        <s v="Glycyrrhizaea"/>
        <s v="Cicereae"/>
        <s v="Galegeae"/>
        <s v="Vicieae"/>
        <s v="Trifoliae"/>
        <s v="Hedysareae"/>
        <s v="Astragalaeae"/>
        <s v="Indigofereae"/>
        <s v="Abreae"/>
        <s v="Millettieae"/>
        <s v="Desmodieae"/>
        <s v="Phaseoleae"/>
        <s v="Psoraleeae"/>
        <s v="Clusieae"/>
        <s v="Arabidopsideae"/>
        <s v="Camelinieae"/>
        <s v="Brassiceae"/>
      </sharedItems>
    </cacheField>
    <cacheField name="Genus" numFmtId="0">
      <sharedItems count="108">
        <s v="Dunaliella"/>
        <s v="Scenedesmus"/>
        <s v="Nuphar"/>
        <s v="Hydrilla"/>
        <s v="Alocasia"/>
        <s v="Arachnis"/>
        <s v="Bromelia"/>
        <s v="Ananas"/>
        <s v="Cyperus"/>
        <s v="Oryza"/>
        <s v="Hordeum"/>
        <s v="Triticum"/>
        <s v="Zoysia"/>
        <s v="Cynodon"/>
        <s v="Janochloa"/>
        <s v="Panicum"/>
        <s v="Urochloa"/>
        <s v="Megathyrsus"/>
        <s v="Digitaria"/>
        <s v="Rugoloa"/>
        <s v="Steinchisma"/>
        <s v="Paspalum"/>
        <s v="Zea"/>
        <s v="Sorghum"/>
        <s v="Lactuca"/>
        <s v="Taraxacum"/>
        <s v="Zinnia"/>
        <s v="Geraea"/>
        <s v="Helianthus"/>
        <s v="Xanthium"/>
        <s v="Flaveria"/>
        <s v="Petunia"/>
        <s v="Nicotiana"/>
        <s v="Capsicum"/>
        <s v="Physalis"/>
        <s v="Solanum"/>
        <s v="Amaranthus"/>
        <s v="Beta"/>
        <s v="Spinacia"/>
        <s v="Chenopodium"/>
        <s v="Atriplex"/>
        <s v="Mesembryanthemum"/>
        <s v="Portulaca"/>
        <s v="Crassula"/>
        <s v="Kalanchoe"/>
        <s v="Hylotelephium"/>
        <s v="Camissonia"/>
        <s v="Cucurbita"/>
        <s v="Cucumis"/>
        <s v="Ficus"/>
        <s v="Bauhinia"/>
        <s v="Cassia"/>
        <s v="Neltuma"/>
        <s v="Mimosa"/>
        <s v="Desmanthus"/>
        <s v="Amorpha"/>
        <s v="Dalea"/>
        <s v="Adesmia"/>
        <s v="Zornia"/>
        <s v="Aeschynomene"/>
        <s v="Arachis"/>
        <s v="Stylosanthes"/>
        <s v="Sophora"/>
        <s v="Crotalaria"/>
        <s v="Lotononis"/>
        <s v="Lupinus"/>
        <s v="Laburnum"/>
        <s v="Genista"/>
        <s v="Robinia"/>
        <s v="Sesbania"/>
        <s v="Ornithopus"/>
        <s v="Tetragonolobus"/>
        <s v="Coronilla"/>
        <s v="Lotus"/>
        <s v="Glycyrrhiza"/>
        <s v="Cicer"/>
        <s v="Galega"/>
        <s v="Vicia"/>
        <s v="Lens"/>
        <s v="Lathyrus"/>
        <s v="Pisum"/>
        <s v="Ononis"/>
        <s v="Trifolium"/>
        <s v="Medicago"/>
        <s v="Melilotus"/>
        <s v="Trigonella"/>
        <s v="Hedysarum"/>
        <s v="Onobrychis"/>
        <s v="Oxytropis"/>
        <s v="Astragalus"/>
        <s v="Indigofera"/>
        <s v="Cyamopsis"/>
        <s v="Abrus"/>
        <s v="Tephrosia"/>
        <s v="Lespedeza"/>
        <s v="Desmodium"/>
        <s v="Pueraria"/>
        <s v="Glycine"/>
        <s v="Vigna"/>
        <s v="Phaseolus"/>
        <s v="Macroptilium"/>
        <s v="Psoralea"/>
        <s v="Clusia"/>
        <s v="Arabidopsis"/>
        <s v="Camelina"/>
        <s v="Moricandia"/>
        <s v="Nuphur" u="1"/>
        <s v="Brachiaria" u="1"/>
      </sharedItems>
    </cacheField>
    <cacheField name="Species" numFmtId="0">
      <sharedItems count="161">
        <s v="Dunaliella tertiolecta"/>
        <s v="Scenedesmus ecornis"/>
        <s v="Nuphar lutea"/>
        <s v="Hydrilla verticillata"/>
        <s v="Alocasia macrorrhiza"/>
        <s v="Arachnis x Ascocentrum x Vanda"/>
        <s v="Bromelia pinguin"/>
        <s v="Ananas comosus"/>
        <s v="Cyperus esculentus"/>
        <s v="Cyperus iria "/>
        <s v="Oryza sativa"/>
        <s v="Hordeum vulgare"/>
        <s v="Triticum aestivum"/>
        <s v="Zoysia japonica"/>
        <s v="Cynodon dactylon"/>
        <s v="Janochloa antidotalis"/>
        <s v="Panicum bisulcatum"/>
        <s v="Panicum miliaceum"/>
        <s v="Urochloa texana "/>
        <s v="Megathyrsus maximus"/>
        <s v="Digitaria sanguinalis "/>
        <s v="Rugoloa polygonata"/>
        <s v="Rugoloa hylaeica"/>
        <s v="Steinchisma hians"/>
        <s v="Paspalum dilatatum"/>
        <s v="Zea mays "/>
        <s v="Sorghum bicolor "/>
        <s v="Lactuca sativa"/>
        <s v="Taraxacum officinale"/>
        <s v="Zinnia hybrida"/>
        <s v="Geraea canescens"/>
        <s v="Helianthus annuus"/>
        <s v="Xanthium strumarium"/>
        <s v="Flaveria trinervia "/>
        <s v="Petunia hvbrida"/>
        <s v="Nicotiana rustica"/>
        <s v="Nicotiana tabacum"/>
        <s v="Capsicum frutecens"/>
        <s v="Physalis pruinosa"/>
        <s v="Solanum dulcamara"/>
        <s v="Solanum nigrum"/>
        <s v="Solanum lycopersicum"/>
        <s v="Solanum tuberosum"/>
        <s v="Solanum melongena"/>
        <s v="Amaranthus retroflexus "/>
        <s v="Amaranthus tricolor"/>
        <s v="Beta vulgaris"/>
        <s v="Spinacia oleracea"/>
        <s v="Chenopodium album"/>
        <s v="Atriplex pentandra "/>
        <s v="Mesembryanthemum crystallinum"/>
        <s v="Portulaca grandiflora"/>
        <s v="Portulaca oleracea "/>
        <s v="Crassula argentea"/>
        <s v="Kalanchoe blossfeldiana"/>
        <s v="Kalanchoe daigremontiana"/>
        <s v="Hylotelephium spectable"/>
        <s v="Camissonia brevipes"/>
        <s v="Cucurbita pepo"/>
        <s v="Cucumis sativus"/>
        <s v="Ficus elastica"/>
        <s v="Bauhinia galpinii"/>
        <s v="Cassia marilandica"/>
        <s v="Neltuma julifora"/>
        <s v="Mimosa diplotricha "/>
        <s v="Desmanthus illinoensis "/>
        <s v="Desmanthus virgatus "/>
        <s v="Amorpha fruticosa"/>
        <s v="Dalea leporina "/>
        <s v="Adesmia exilis"/>
        <s v="Adesmia muricata"/>
        <s v="Zornia braziliensis"/>
        <s v="Aeschynomene indica"/>
        <s v="Arachis hypogaea"/>
        <s v="Stylosanthes hamata"/>
        <s v="Sophora alopecuroides"/>
        <s v="Sophora chrysophylla"/>
        <s v="Sophora sp."/>
        <s v="Crotalaria juncea "/>
        <s v="Lotononis bainesii "/>
        <s v="Lupinus albus"/>
        <s v="Lupinus albicaulis "/>
        <s v="Lupinus perennis "/>
        <s v="Lupinus polyphyllus"/>
        <s v="Lupinus sericeus"/>
        <s v="Laburnum alpinum "/>
        <s v="Genista tinctoria "/>
        <s v="Robinia pseudoacacia"/>
        <s v="Sesbania sesban"/>
        <s v="Ornithopus compressus"/>
        <s v="Tetragonolobus purpureus"/>
        <s v="Coronilla scorpioides"/>
        <s v="Coronilla varia"/>
        <s v="Lotus caucasicus"/>
        <s v="Lotus corniculatus"/>
        <s v="Glycyrrhiza echinata"/>
        <s v="Glycyrrhiza sp"/>
        <s v="Cicer arietinum"/>
        <s v="Galega orientalis "/>
        <s v="Vicia dasycarpa"/>
        <s v="Vicia sativa"/>
        <s v="Vicia hybrida"/>
        <s v="Vicia faba"/>
        <s v="Vicia ervilia"/>
        <s v="Lens culinaris"/>
        <s v="Lathyrus odoratus"/>
        <s v="Lathyrus sativus"/>
        <s v="Pisum fulvum"/>
        <s v="Pisum elatius "/>
        <s v="Pisum sativum"/>
        <s v="Ononis natrix "/>
        <s v="Ononis pubescens"/>
        <s v="Trifolium glomeratum"/>
        <s v="Trifolium repens"/>
        <s v="Trifolium pratense"/>
        <s v="Medicago sativa"/>
        <s v="Melilotus albus"/>
        <s v="Melilotus officinalis"/>
        <s v="Trigonella foenum-graecum"/>
        <s v="Hedysarum alpinum"/>
        <s v="Hedysarum coronarium"/>
        <s v="Onobrychis viciifolia"/>
        <s v="Oxytropis lambertii"/>
        <s v="Oxytropis pilosa"/>
        <s v="Astragalus cicer"/>
        <s v="Indigofera sp."/>
        <s v="Cyamopsis tetragonoloba"/>
        <s v="Abrus precatorius"/>
        <s v="Tephrosia polystachya"/>
        <s v="Tephrosia villosa"/>
        <s v="Lespedeza capitata"/>
        <s v="Lespedeza daurica"/>
        <s v="Desmodium adscendens"/>
        <s v="Pueraria lobata  "/>
        <s v="Glycine max"/>
        <s v="Vigna unguiculata"/>
        <s v="Vigna acontifolia"/>
        <s v="Vigna radiata"/>
        <s v="Vigna mungo"/>
        <s v="Phaseolus microcarpus "/>
        <s v="Phaseolus glabellus "/>
        <s v="Phaseolus grayanus "/>
        <s v="Phaseolus xanthotrichus "/>
        <s v="Phaseolus angustissimus "/>
        <s v="Phaseolus filiformis "/>
        <s v="Phaseolus leptostachyus "/>
        <s v="Phaseolus maculatus "/>
        <s v="Phaseolus lunatus"/>
        <s v="Phaseolus vulgaris"/>
        <s v="Phaseolus coccineus"/>
        <s v="Phaseolus acutifolius "/>
        <s v="Macroptilium atropurpureum"/>
        <s v="Psoralea cinerea"/>
        <s v="Psoralea sp"/>
        <s v="Psoralea tenax"/>
        <s v="Clusia fluminensis"/>
        <s v="Arabidopsis thaliana"/>
        <s v="Camelina sativa"/>
        <s v="Moricandia arvensis"/>
        <s v="Nuphur lutea" u="1"/>
        <s v="Brachiaria texana " u="1"/>
      </sharedItems>
    </cacheField>
    <cacheField name="Cultivar / Variety / Genotype / Hybrid" numFmtId="0">
      <sharedItems containsMixedTypes="1" containsNumber="1" containsInteger="1" minValue="708" maxValue="5951"/>
    </cacheField>
    <cacheField name="Dark Inhibition Level" numFmtId="0">
      <sharedItems/>
    </cacheField>
    <cacheField name="Dark Inhibition" numFmtId="0">
      <sharedItems containsSemiMixedTypes="0" containsString="0" containsNumber="1" minValue="-0.8" maxValue="0.97399999999999998" count="238">
        <n v="0.50406504065040658"/>
        <n v="0.68833075321624948"/>
        <n v="0.83767462458231012"/>
        <n v="-7.2335025380710696E-2"/>
        <n v="0.38898493455174121"/>
        <n v="0.3897552051572436"/>
        <n v="0.16664234375570064"/>
        <n v="0.96465222348916768"/>
        <n v="0.97122302158273377"/>
        <n v="-5.0000000000000044E-2"/>
        <n v="0.11"/>
        <n v="0.28999999999999998"/>
        <n v="0.41"/>
        <n v="0.37"/>
        <n v="0.3"/>
        <n v="0.54"/>
        <n v="0.48"/>
        <n v="0.74717670732208119"/>
        <n v="0.72623302358827735"/>
        <n v="2.6666666666666505E-2"/>
        <n v="-2.3053278688524588E-2"/>
        <n v="0"/>
        <n v="0.28000000000000003"/>
        <n v="0.26271186440677963"/>
        <n v="0.08"/>
        <n v="-5.7803468208092568E-2"/>
        <n v="-0.18"/>
        <n v="0.28249885163068444"/>
        <n v="1.7408123791102622E-2"/>
        <n v="-0.04"/>
        <n v="-0.02"/>
        <n v="0.61324786324786329"/>
        <n v="0.13"/>
        <n v="0.05"/>
        <n v="0.24000000000000005"/>
        <n v="0.33919999999999995"/>
        <n v="-0.14000000000000001"/>
        <n v="3.791469194312802E-2"/>
        <n v="-5.5331991951709973E-3"/>
        <n v="6.2996439331690253E-3"/>
        <n v="0.09"/>
        <n v="-5.500000000000016E-2"/>
        <n v="0.03"/>
        <n v="9.4932191291934323E-2"/>
        <n v="0.16000000000000003"/>
        <n v="0.38"/>
        <n v="0.39"/>
        <n v="0.5"/>
        <n v="0.59615384615384615"/>
        <n v="0.65217391304347827"/>
        <n v="0.55012853470437018"/>
        <n v="0.55555555555555558"/>
        <n v="0.5575"/>
        <n v="0.55311355311355315"/>
        <n v="0.69432314410480345"/>
        <n v="0.40540999276404532"/>
        <n v="0.45977011494252873"/>
        <n v="0.53"/>
        <n v="0.30000000000000004"/>
        <n v="0.54500000000000004"/>
        <n v="0.26092933736596091"/>
        <n v="0.32000000000000006"/>
        <n v="0.52500000000000002"/>
        <n v="0.41249999999999998"/>
        <n v="0.57000000000000006"/>
        <n v="-0.01"/>
        <n v="5.0000000000000044E-2"/>
        <n v="0.15500000000000003"/>
        <n v="0.54421148587055601"/>
        <n v="0.63623789764868599"/>
        <n v="0.55075530187472321"/>
        <n v="0.43714620500717916"/>
        <n v="-0.1050000000000002"/>
        <n v="-4.2120911793855464E-2"/>
        <n v="-3.3858727378868192E-3"/>
        <n v="0.19616489340183663"/>
        <n v="-0.06"/>
        <n v="-0.1399999999999999"/>
        <n v="-5.8479532163742687E-2"/>
        <n v="0.01"/>
        <n v="0.22999999999999998"/>
        <n v="0.25"/>
        <n v="0.44999999999999996"/>
        <n v="-0.8"/>
        <n v="0.43992490613266588"/>
        <n v="0.53928667203003489"/>
        <n v="-0.30000000000000004"/>
        <n v="0.40666666666666662"/>
        <n v="0.73"/>
        <n v="0.51"/>
        <n v="0.53600000000000003"/>
        <n v="0.434"/>
        <n v="0.36199999999999999"/>
        <n v="0.89173155357804967"/>
        <n v="0.63"/>
        <n v="0.373"/>
        <n v="0.152"/>
        <n v="0.28299999999999997"/>
        <n v="0.49299999999999999"/>
        <n v="0.44"/>
        <n v="0.46600000000000003"/>
        <n v="0.59799999999999998"/>
        <n v="0.56299999999999994"/>
        <n v="0.53700000000000003"/>
        <n v="0.504"/>
        <n v="0.22900000000000001"/>
        <n v="0.65"/>
        <n v="0.29399999999999998"/>
        <n v="0.153"/>
        <n v="0.46700000000000003"/>
        <n v="0.33200000000000002"/>
        <n v="9.4E-2"/>
        <n v="0.55300000000000005"/>
        <n v="0.20300000000000001"/>
        <n v="0.104"/>
        <n v="1.5000000000000013E-2"/>
        <n v="5.7000000000000002E-2"/>
        <n v="0.45"/>
        <n v="0.56499999999999995"/>
        <n v="0.252"/>
        <n v="0.63500000000000001"/>
        <n v="0.39100000000000001"/>
        <n v="0.34899999999999998"/>
        <n v="0.502"/>
        <n v="0.27400000000000002"/>
        <n v="0.70199999999999996"/>
        <n v="0.22600000000000001"/>
        <n v="0.54100000000000004"/>
        <n v="0.155"/>
        <n v="1.9E-2"/>
        <n v="0.49399999999999999"/>
        <n v="8.8999999999999996E-2"/>
        <n v="6.6000000000000003E-2"/>
        <n v="3.0000000000000001E-3"/>
        <n v="4.9000000000000002E-2"/>
        <n v="1.4E-2"/>
        <n v="0.04"/>
        <n v="-8.0000000000000071E-2"/>
        <n v="0.14099999999999999"/>
        <n v="0.19700000000000001"/>
        <n v="0.30599999999999999"/>
        <n v="0.33900000000000002"/>
        <n v="0.14899999999999999"/>
        <n v="0.39200000000000002"/>
        <n v="0.32800000000000001"/>
        <n v="0.61899999999999999"/>
        <n v="0.20599999999999999"/>
        <n v="0.374"/>
        <n v="0.45600000000000002"/>
        <n v="0.6"/>
        <n v="0.23699999999999999"/>
        <n v="0.42699999999999999"/>
        <n v="4.3999999999999997E-2"/>
        <n v="0.26200000000000001"/>
        <n v="0.437"/>
        <n v="0.79500000000000004"/>
        <n v="0.28799999999999998"/>
        <n v="0.36899999999999999"/>
        <n v="0.62"/>
        <n v="0.42799999999999999"/>
        <n v="0.52"/>
        <n v="0.752"/>
        <n v="0.56200000000000006"/>
        <n v="0.23"/>
        <n v="0.40584018184997372"/>
        <n v="0.61661638431190524"/>
        <n v="0.5866013071895424"/>
        <n v="0.60658202472435685"/>
        <n v="0.64"/>
        <n v="0.625"/>
        <n v="0.40154879854230729"/>
        <n v="0.4"/>
        <n v="0.21"/>
        <n v="0.14812085482682391"/>
        <n v="0.54300000000000004"/>
        <n v="0.34200000000000003"/>
        <n v="8.5999999999999993E-2"/>
        <n v="0.38500000000000001"/>
        <n v="0.33800000000000002"/>
        <n v="0.61"/>
        <n v="0.17745035233824469"/>
        <n v="0.30194912454575495"/>
        <n v="0.45463535228677388"/>
        <n v="0.64100000000000001"/>
        <n v="0.64400000000000002"/>
        <n v="0.46"/>
        <n v="0.79"/>
        <n v="0.30499999999999999"/>
        <n v="0.63700000000000001"/>
        <n v="0.82"/>
        <n v="0.74"/>
        <n v="0.88"/>
        <n v="0.92"/>
        <n v="0.32200000000000001"/>
        <n v="0.68700000000000006"/>
        <n v="0.64200000000000002"/>
        <n v="0.61799999999999999"/>
        <n v="0.9"/>
        <n v="0.93"/>
        <n v="0.90749999999999997"/>
        <n v="0.85579064587973275"/>
        <n v="0.83972748087340143"/>
        <n v="0.90678573397276885"/>
        <n v="0.70299999999999996"/>
        <n v="0.71799999999999997"/>
        <n v="0.68500000000000005"/>
        <n v="0.70399999999999996"/>
        <n v="0.67625899280575541"/>
        <n v="0.85"/>
        <n v="0.79100000000000004"/>
        <n v="0.93500000000000005"/>
        <n v="0.93799999999999994"/>
        <n v="0.68900000000000006"/>
        <n v="0.82499999999999996"/>
        <n v="0.86"/>
        <n v="0.95299999999999996"/>
        <n v="0.94899999999999995"/>
        <n v="0.87"/>
        <n v="0.81"/>
        <n v="0.97399999999999998"/>
        <n v="0.95899999999999996"/>
        <n v="0.95"/>
        <n v="0.88800000000000001"/>
        <n v="0.873"/>
        <n v="0.95199999999999996"/>
        <n v="0.92100000000000004"/>
        <n v="0.56999999999999995"/>
        <n v="0.69599999999999995"/>
        <n v="0.72899999999999998"/>
        <n v="0.84399999999999997"/>
        <n v="0.84"/>
        <n v="0.221"/>
        <n v="0.378"/>
        <n v="0.161"/>
        <n v="0.8518"/>
        <n v="4.5977011494252928E-2"/>
        <n v="0.55696202531645578"/>
        <n v="6.2188099808061378E-2"/>
      </sharedItems>
    </cacheField>
    <cacheField name="Light Level (umol/m2*s)" numFmtId="0">
      <sharedItems containsMixedTypes="1" containsNumber="1" containsInteger="1" minValue="200" maxValue="2500"/>
    </cacheField>
    <cacheField name="Dark Level (umol/m2*s)" numFmtId="0">
      <sharedItems containsMixedTypes="1" containsNumber="1" minValue="0" maxValue="87.5"/>
    </cacheField>
    <cacheField name="Note:" numFmtId="0">
      <sharedItems/>
    </cacheField>
    <cacheField name="Activity Measurement" numFmtId="0">
      <sharedItems/>
    </cacheField>
    <cacheField name="Method" numFmtId="164">
      <sharedItems/>
    </cacheField>
    <cacheField name="Rubisco Activation Time (min)" numFmtId="0">
      <sharedItems containsMixedTypes="1" containsNumber="1" containsInteger="1" minValue="3" maxValue="40"/>
    </cacheField>
    <cacheField name="Rubisco Activity Time (min)" numFmtId="0">
      <sharedItems containsMixedTypes="1" containsNumber="1" minValue="0.5" maxValue="2"/>
    </cacheField>
    <cacheField name="Buffer Type" numFmtId="0">
      <sharedItems/>
    </cacheField>
    <cacheField name="Buffer (mM)" numFmtId="0">
      <sharedItems containsSemiMixedTypes="0" containsString="0" containsNumber="1" containsInteger="1" minValue="50" maxValue="166"/>
    </cacheField>
    <cacheField name="MgCl2 (mM)" numFmtId="0">
      <sharedItems containsSemiMixedTypes="0" containsString="0" containsNumber="1" containsInteger="1" minValue="5" maxValue="30"/>
    </cacheField>
    <cacheField name="DTT (mM)" numFmtId="0">
      <sharedItems containsSemiMixedTypes="0" containsString="0" containsNumber="1" minValue="0" maxValue="10"/>
    </cacheField>
    <cacheField name="2-mercaptoethanol (mM)" numFmtId="0">
      <sharedItems containsString="0" containsBlank="1" containsNumber="1" minValue="0" maxValue="14"/>
    </cacheField>
    <cacheField name="EDTA (mM)" numFmtId="0">
      <sharedItems containsSemiMixedTypes="0" containsString="0" containsNumber="1" minValue="0" maxValue="1"/>
    </cacheField>
    <cacheField name="RuBP (mM)" numFmtId="0">
      <sharedItems containsMixedTypes="1" containsNumber="1" minValue="0.2" maxValue="5"/>
    </cacheField>
    <cacheField name="NAH14Co3 (20mM)" numFmtId="0">
      <sharedItems containsSemiMixedTypes="0" containsString="0" containsNumber="1" minValue="0.438" maxValue="25"/>
    </cacheField>
    <cacheField name="KHCO3 (mM)" numFmtId="0">
      <sharedItems containsSemiMixedTypes="0" containsString="0" containsNumber="1" containsInteger="1" minValue="0" maxValue="0"/>
    </cacheField>
    <cacheField name="ATP (mM)" numFmtId="0">
      <sharedItems containsSemiMixedTypes="0" containsString="0" containsNumber="1" containsInteger="1" minValue="0" maxValue="2"/>
    </cacheField>
    <cacheField name="Phosphocreatine (mM)" numFmtId="0">
      <sharedItems containsSemiMixedTypes="0" containsString="0" containsNumber="1" containsInteger="1" minValue="0" maxValue="0"/>
    </cacheField>
    <cacheField name="NADH (mM)" numFmtId="0">
      <sharedItems containsSemiMixedTypes="0" containsString="0" containsNumber="1" containsInteger="1" minValue="0" maxValue="0"/>
    </cacheField>
    <cacheField name="pH" numFmtId="0">
      <sharedItems containsSemiMixedTypes="0" containsString="0" containsNumber="1" minValue="7.7" maxValue="8.5"/>
    </cacheField>
    <cacheField name="Temperature (C)" numFmtId="0">
      <sharedItems containsMixedTypes="1" containsNumber="1" containsInteger="1" minValue="5" maxValue="30"/>
    </cacheField>
    <cacheField name="Other Assay Reagents" numFmtId="0">
      <sharedItems/>
    </cacheField>
    <cacheField name="Source2" numFmtId="0">
      <sharedItems/>
    </cacheField>
  </cacheFields>
  <extLst>
    <ext xmlns:x14="http://schemas.microsoft.com/office/spreadsheetml/2009/9/main" uri="{725AE2AE-9491-48be-B2B4-4EB974FC3084}">
      <x14:pivotCacheDefinition pivotCacheId="18117673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">
  <r>
    <s v="MacIntyre et al. 1997"/>
    <n v="1997"/>
    <x v="0"/>
    <x v="0"/>
    <x v="0"/>
    <x v="0"/>
    <x v="0"/>
    <x v="0"/>
    <x v="0"/>
    <x v="0"/>
    <x v="0"/>
    <x v="0"/>
    <x v="0"/>
    <x v="0"/>
    <s v="N/A"/>
    <s v="High"/>
    <x v="0"/>
    <n v="600"/>
    <n v="0"/>
    <s v="This compares total activity values from dark incubated to 20 min light treated samples; data points approximated using SplineCloud plot digitizer, from figure 6A"/>
    <s v="g C / g chl * hr"/>
    <s v="Radiolabelled CO2"/>
    <n v="10"/>
    <n v="1"/>
    <s v="Bicine"/>
    <n v="50"/>
    <n v="20"/>
    <n v="10"/>
    <n v="0"/>
    <n v="1"/>
    <n v="2.5"/>
    <n v="20"/>
    <n v="0"/>
    <n v="0"/>
    <n v="0"/>
    <n v="0"/>
    <n v="8.1999999999999993"/>
    <n v="20"/>
    <s v="0.2% Triton-X-100, 15mg/ml PVPP, 10mM glutathione, 4mM e-amino-n-caproic acid"/>
    <s v="Crude Algae"/>
  </r>
  <r>
    <s v="Mouget et al. 1991"/>
    <n v="1991"/>
    <x v="1"/>
    <x v="0"/>
    <x v="0"/>
    <x v="0"/>
    <x v="0"/>
    <x v="0"/>
    <x v="1"/>
    <x v="1"/>
    <x v="0"/>
    <x v="0"/>
    <x v="1"/>
    <x v="1"/>
    <s v="N/A"/>
    <s v="High"/>
    <x v="1"/>
    <n v="700"/>
    <n v="87.5"/>
    <s v="This compares total activity values from light and dark; data points approximated using SplineCloud plot digitizer, from figure 1"/>
    <s v="umol CO2 / mg chl * hr"/>
    <s v="Radiolabelled CO2"/>
    <n v="15"/>
    <n v="2"/>
    <s v="Bicine"/>
    <n v="100"/>
    <n v="20"/>
    <n v="5"/>
    <n v="0"/>
    <n v="0.45"/>
    <n v="0.4"/>
    <n v="10"/>
    <n v="0"/>
    <n v="0"/>
    <n v="0"/>
    <n v="0"/>
    <n v="8"/>
    <n v="20"/>
    <s v="2.5mM ascorbate, 0.75% PVP"/>
    <s v="Crude Algae"/>
  </r>
  <r>
    <s v="Snir et al. 2007"/>
    <n v="2007"/>
    <x v="2"/>
    <x v="1"/>
    <x v="1"/>
    <x v="1"/>
    <x v="0"/>
    <x v="0"/>
    <x v="2"/>
    <x v="2"/>
    <x v="0"/>
    <x v="0"/>
    <x v="2"/>
    <x v="2"/>
    <s v="N/A"/>
    <s v="Very High"/>
    <x v="2"/>
    <n v="2000"/>
    <n v="0"/>
    <s v="This compares total activity values in a simulated day night cycle; data points approximated using SplineCloud plot digitizer, from Fig5b"/>
    <s v="mol CO2 / m^2 * s"/>
    <s v="Radiolabelled CO2"/>
    <n v="30"/>
    <n v="2"/>
    <s v="HEPES"/>
    <n v="50"/>
    <n v="5"/>
    <n v="5"/>
    <n v="0"/>
    <n v="0.83"/>
    <n v="0.5"/>
    <n v="0.438"/>
    <n v="0"/>
    <n v="0"/>
    <n v="0"/>
    <n v="0"/>
    <n v="7.8"/>
    <n v="25"/>
    <s v="Carbon labelled CO2 rather than NaHCO3, 7.5 wilbur anderson units carbonic anhydrase"/>
    <s v="crude leaf"/>
  </r>
  <r>
    <s v="Vu et al. 1984"/>
    <n v="1984"/>
    <x v="3"/>
    <x v="2"/>
    <x v="2"/>
    <x v="0"/>
    <x v="0"/>
    <x v="0"/>
    <x v="3"/>
    <x v="3"/>
    <x v="1"/>
    <x v="0"/>
    <x v="3"/>
    <x v="3"/>
    <s v="Royle"/>
    <s v="Low"/>
    <x v="3"/>
    <n v="800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eman et al. 1988"/>
    <n v="1988"/>
    <x v="3"/>
    <x v="3"/>
    <x v="3"/>
    <x v="0"/>
    <x v="1"/>
    <x v="0"/>
    <x v="3"/>
    <x v="4"/>
    <x v="2"/>
    <x v="1"/>
    <x v="4"/>
    <x v="4"/>
    <s v="G. Don"/>
    <s v="Moderate"/>
    <x v="4"/>
    <n v="500"/>
    <n v="10"/>
    <s v="This compares total activity values from light and dark; data points approximated using SplineCloud plot digitizer, from figure 1B"/>
    <s v="mol CO2 / mole Rubisco * s"/>
    <s v="Radiolabelled CO2"/>
    <n v="10"/>
    <n v="0.5"/>
    <s v="Bicine"/>
    <n v="100"/>
    <n v="20"/>
    <n v="1"/>
    <n v="0"/>
    <n v="0.1"/>
    <n v="1.5"/>
    <n v="15"/>
    <n v="0"/>
    <n v="0"/>
    <n v="0"/>
    <n v="0"/>
    <n v="8.1999999999999993"/>
    <n v="25"/>
    <s v="?"/>
    <s v="crude leaf"/>
  </r>
  <r>
    <s v="Seemann 1989"/>
    <n v="1989"/>
    <x v="3"/>
    <x v="3"/>
    <x v="3"/>
    <x v="0"/>
    <x v="1"/>
    <x v="0"/>
    <x v="3"/>
    <x v="4"/>
    <x v="2"/>
    <x v="1"/>
    <x v="4"/>
    <x v="4"/>
    <s v="Don"/>
    <s v="Moderate"/>
    <x v="5"/>
    <n v="500"/>
    <s v="Full Dark"/>
    <s v="This compares total activity values from light and dark;  data points approximated using SplineCloud plot digitizer, from Figure 3B"/>
    <s v="mol CO2 / mol Rubisco * s"/>
    <s v="Radiolabelled CO2"/>
    <n v="10"/>
    <n v="0.5"/>
    <s v="Bicine"/>
    <n v="100"/>
    <n v="10"/>
    <n v="1"/>
    <n v="0"/>
    <n v="0.1"/>
    <n v="0.5"/>
    <n v="20"/>
    <n v="0"/>
    <n v="0"/>
    <n v="0"/>
    <n v="0"/>
    <n v="7.8"/>
    <n v="25"/>
    <s v="?"/>
    <s v="crude leaf"/>
  </r>
  <r>
    <s v="Li et al. 2008"/>
    <n v="2008"/>
    <x v="4"/>
    <x v="0"/>
    <x v="4"/>
    <x v="0"/>
    <x v="2"/>
    <x v="0"/>
    <x v="4"/>
    <x v="5"/>
    <x v="3"/>
    <x v="2"/>
    <x v="5"/>
    <x v="5"/>
    <s v="Mokara Yellow"/>
    <s v="Low"/>
    <x v="6"/>
    <n v="200"/>
    <n v="0"/>
    <s v="This compares total activity values in predawn ot midday; data points approximated using SplineCloud plot digitizer, from Figure 2b"/>
    <s v="nmol CO2 / mg protein * min"/>
    <s v="Radiolabelled CO2"/>
    <n v="5"/>
    <n v="1"/>
    <s v="Bicine"/>
    <n v="60"/>
    <n v="15"/>
    <n v="6"/>
    <n v="4"/>
    <n v="0"/>
    <n v="0.5"/>
    <n v="20"/>
    <n v="0"/>
    <n v="0"/>
    <n v="0"/>
    <n v="0"/>
    <n v="8"/>
    <n v="25"/>
    <s v="2% glycerol"/>
    <s v="crude leaf"/>
  </r>
  <r>
    <s v="Vu et al. 1984"/>
    <n v="1984"/>
    <x v="5"/>
    <x v="4"/>
    <x v="3"/>
    <x v="0"/>
    <x v="0"/>
    <x v="0"/>
    <x v="5"/>
    <x v="6"/>
    <x v="4"/>
    <x v="0"/>
    <x v="6"/>
    <x v="6"/>
    <s v="N/A"/>
    <s v="Very High"/>
    <x v="7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Vu et al. 1984"/>
    <n v="1984"/>
    <x v="5"/>
    <x v="4"/>
    <x v="3"/>
    <x v="0"/>
    <x v="3"/>
    <x v="0"/>
    <x v="5"/>
    <x v="6"/>
    <x v="4"/>
    <x v="0"/>
    <x v="7"/>
    <x v="7"/>
    <s v="N/A"/>
    <s v="Very High"/>
    <x v="8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rvaites et al. 1986"/>
    <n v="1986"/>
    <x v="5"/>
    <x v="5"/>
    <x v="5"/>
    <x v="2"/>
    <x v="0"/>
    <x v="0"/>
    <x v="5"/>
    <x v="7"/>
    <x v="5"/>
    <x v="3"/>
    <x v="8"/>
    <x v="8"/>
    <s v="N/A"/>
    <s v="Low"/>
    <x v="9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ge and Seemann 1993"/>
    <n v="1993"/>
    <x v="5"/>
    <x v="5"/>
    <x v="5"/>
    <x v="2"/>
    <x v="0"/>
    <x v="0"/>
    <x v="5"/>
    <x v="7"/>
    <x v="5"/>
    <x v="3"/>
    <x v="8"/>
    <x v="9"/>
    <s v="N/A"/>
    <s v="Low"/>
    <x v="10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Bowes et al. 1990"/>
    <n v="1990"/>
    <x v="5"/>
    <x v="6"/>
    <x v="2"/>
    <x v="1"/>
    <x v="4"/>
    <x v="0"/>
    <x v="5"/>
    <x v="8"/>
    <x v="6"/>
    <x v="4"/>
    <x v="9"/>
    <x v="10"/>
    <s v="Gulfmont"/>
    <s v="Moderate"/>
    <x v="11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5"/>
    <x v="6"/>
    <x v="2"/>
    <x v="1"/>
    <x v="4"/>
    <x v="0"/>
    <x v="5"/>
    <x v="8"/>
    <x v="6"/>
    <x v="4"/>
    <x v="9"/>
    <x v="10"/>
    <s v="IR-30"/>
    <s v="Moderate"/>
    <x v="12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5"/>
    <x v="6"/>
    <x v="2"/>
    <x v="1"/>
    <x v="4"/>
    <x v="0"/>
    <x v="5"/>
    <x v="8"/>
    <x v="6"/>
    <x v="4"/>
    <x v="9"/>
    <x v="10"/>
    <s v="Labelle"/>
    <s v="Moderate"/>
    <x v="13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5"/>
    <x v="6"/>
    <x v="2"/>
    <x v="1"/>
    <x v="4"/>
    <x v="0"/>
    <x v="5"/>
    <x v="8"/>
    <x v="6"/>
    <x v="4"/>
    <x v="9"/>
    <x v="10"/>
    <s v="Lebonnet"/>
    <s v="Moderate"/>
    <x v="14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5"/>
    <x v="6"/>
    <x v="2"/>
    <x v="1"/>
    <x v="4"/>
    <x v="0"/>
    <x v="5"/>
    <x v="8"/>
    <x v="6"/>
    <x v="4"/>
    <x v="9"/>
    <x v="10"/>
    <s v="Lemont"/>
    <s v="High"/>
    <x v="15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5"/>
    <x v="6"/>
    <x v="2"/>
    <x v="1"/>
    <x v="4"/>
    <x v="0"/>
    <x v="5"/>
    <x v="8"/>
    <x v="6"/>
    <x v="4"/>
    <x v="9"/>
    <x v="10"/>
    <s v="Tebonnet"/>
    <s v="High"/>
    <x v="16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Rowland-Bamfer et al. 1991"/>
    <n v="1991"/>
    <x v="5"/>
    <x v="6"/>
    <x v="2"/>
    <x v="1"/>
    <x v="4"/>
    <x v="0"/>
    <x v="5"/>
    <x v="8"/>
    <x v="6"/>
    <x v="4"/>
    <x v="9"/>
    <x v="10"/>
    <s v="IR-30"/>
    <s v="High"/>
    <x v="17"/>
    <n v="1200"/>
    <s v="Full Dark"/>
    <s v="This compares total activity values from light and dark; data points approximated using SplineCloud plot digitizer, from Figure 3 160umol CO2 "/>
    <s v="mol CO2 / m^2 * s"/>
    <s v="Radiolabelled CO2"/>
    <n v="5"/>
    <n v="0.5"/>
    <s v="HEPES"/>
    <n v="100"/>
    <n v="25"/>
    <n v="5"/>
    <n v="0"/>
    <n v="0"/>
    <n v="1"/>
    <n v="10"/>
    <n v="0"/>
    <n v="0"/>
    <n v="0"/>
    <n v="0"/>
    <n v="8"/>
    <n v="25"/>
    <s v="10mM isoascorbate"/>
    <s v="crude leaf"/>
  </r>
  <r>
    <s v="Vu et al. 1997"/>
    <n v="1997"/>
    <x v="5"/>
    <x v="6"/>
    <x v="2"/>
    <x v="1"/>
    <x v="4"/>
    <x v="0"/>
    <x v="5"/>
    <x v="8"/>
    <x v="6"/>
    <x v="4"/>
    <x v="9"/>
    <x v="10"/>
    <s v="IR-72"/>
    <s v="High"/>
    <x v="18"/>
    <n v="1600"/>
    <n v="0"/>
    <s v="This compares total activity values from light and dark; from table 1 330umol Co2, and table 2 350umol CO2"/>
    <s v="umol CO2 / g leaf FW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"/>
    <n v="30"/>
    <s v="N/A"/>
    <s v="crude leaf"/>
  </r>
  <r>
    <s v="Servaites et al. 1986"/>
    <n v="1986"/>
    <x v="5"/>
    <x v="6"/>
    <x v="6"/>
    <x v="3"/>
    <x v="5"/>
    <x v="0"/>
    <x v="5"/>
    <x v="8"/>
    <x v="7"/>
    <x v="5"/>
    <x v="10"/>
    <x v="11"/>
    <s v="N/A"/>
    <s v="Low"/>
    <x v="19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Vu et al. 1984"/>
    <n v="1984"/>
    <x v="5"/>
    <x v="6"/>
    <x v="6"/>
    <x v="3"/>
    <x v="1"/>
    <x v="0"/>
    <x v="5"/>
    <x v="8"/>
    <x v="7"/>
    <x v="5"/>
    <x v="11"/>
    <x v="12"/>
    <s v="Florida 301"/>
    <s v="Low"/>
    <x v="20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rvaites et al. 1986"/>
    <n v="1986"/>
    <x v="5"/>
    <x v="6"/>
    <x v="6"/>
    <x v="3"/>
    <x v="1"/>
    <x v="0"/>
    <x v="5"/>
    <x v="8"/>
    <x v="7"/>
    <x v="5"/>
    <x v="11"/>
    <x v="12"/>
    <s v="N/A"/>
    <s v="Low"/>
    <x v="21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ge and Seemann 1993"/>
    <n v="1993"/>
    <x v="5"/>
    <x v="6"/>
    <x v="7"/>
    <x v="4"/>
    <x v="6"/>
    <x v="0"/>
    <x v="5"/>
    <x v="8"/>
    <x v="8"/>
    <x v="6"/>
    <x v="12"/>
    <x v="13"/>
    <s v="N/A"/>
    <s v="Moderate"/>
    <x v="22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Carmo-Silva et al. 2010"/>
    <n v="2010"/>
    <x v="5"/>
    <x v="6"/>
    <x v="7"/>
    <x v="4"/>
    <x v="6"/>
    <x v="0"/>
    <x v="5"/>
    <x v="8"/>
    <x v="8"/>
    <x v="6"/>
    <x v="12"/>
    <x v="13"/>
    <s v="Jacklin Sunrise Brand"/>
    <s v="Moderate"/>
    <x v="23"/>
    <s v="&gt;500"/>
    <n v="0"/>
    <s v="This compares total activity values from dark and light adapted leaf samples. From table 2"/>
    <s v="mmol CO2 /min*mg Rubisco"/>
    <s v="Radiolabelled CO2"/>
    <n v="3"/>
    <n v="1"/>
    <s v="Bicine"/>
    <n v="100"/>
    <n v="20"/>
    <n v="0.5"/>
    <n v="2"/>
    <n v="0.05"/>
    <n v="0.4"/>
    <n v="10"/>
    <n v="0"/>
    <n v="0"/>
    <n v="0"/>
    <n v="0"/>
    <n v="8.1999999999999993"/>
    <n v="25"/>
    <s v="0.3% PEG, 0.05% protease inhibitor cocktail, 0.25% PVP"/>
    <s v="crude leaf"/>
  </r>
  <r>
    <s v="Sage and Seemann 1993"/>
    <n v="1993"/>
    <x v="5"/>
    <x v="6"/>
    <x v="7"/>
    <x v="5"/>
    <x v="7"/>
    <x v="0"/>
    <x v="5"/>
    <x v="8"/>
    <x v="8"/>
    <x v="7"/>
    <x v="13"/>
    <x v="14"/>
    <s v="N/A"/>
    <s v="Low"/>
    <x v="24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Carmo-Silva et al. 2010"/>
    <n v="2010"/>
    <x v="5"/>
    <x v="6"/>
    <x v="7"/>
    <x v="5"/>
    <x v="7"/>
    <x v="0"/>
    <x v="5"/>
    <x v="8"/>
    <x v="8"/>
    <x v="7"/>
    <x v="13"/>
    <x v="14"/>
    <s v="Shangri-La"/>
    <s v="Low"/>
    <x v="25"/>
    <s v="&gt;500"/>
    <n v="0"/>
    <s v="This compares total activity values from dark and light adapted leaf samples. From table 2"/>
    <s v="mmol CO2 /min*mg Rubisco"/>
    <s v="Radiolabelled CO2"/>
    <n v="3"/>
    <n v="1"/>
    <s v="Bicine"/>
    <n v="100"/>
    <n v="20"/>
    <n v="0.5"/>
    <n v="2"/>
    <n v="0.05"/>
    <n v="0.4"/>
    <n v="10"/>
    <n v="0"/>
    <n v="0"/>
    <n v="0"/>
    <n v="0"/>
    <n v="8.1999999999999993"/>
    <n v="25"/>
    <s v="0.3% PEG, 0.05% protease inhibitor cocktail, 0.25% PVP"/>
    <s v="crude leaf"/>
  </r>
  <r>
    <s v="Sage and Seemann 1993"/>
    <n v="1993"/>
    <x v="5"/>
    <x v="6"/>
    <x v="8"/>
    <x v="5"/>
    <x v="5"/>
    <x v="0"/>
    <x v="5"/>
    <x v="8"/>
    <x v="9"/>
    <x v="8"/>
    <x v="14"/>
    <x v="15"/>
    <s v="N/A"/>
    <s v="Low"/>
    <x v="26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Vu et al. 1984"/>
    <n v="1984"/>
    <x v="5"/>
    <x v="6"/>
    <x v="8"/>
    <x v="5"/>
    <x v="8"/>
    <x v="0"/>
    <x v="5"/>
    <x v="8"/>
    <x v="9"/>
    <x v="8"/>
    <x v="15"/>
    <x v="16"/>
    <s v="N/A"/>
    <s v="Moderate"/>
    <x v="27"/>
    <n v="800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Vu et al. 1984"/>
    <n v="1984"/>
    <x v="5"/>
    <x v="6"/>
    <x v="8"/>
    <x v="5"/>
    <x v="8"/>
    <x v="0"/>
    <x v="5"/>
    <x v="8"/>
    <x v="9"/>
    <x v="8"/>
    <x v="15"/>
    <x v="17"/>
    <s v="N/A"/>
    <s v="Low"/>
    <x v="28"/>
    <n v="800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age and Seemann 1993"/>
    <n v="1993"/>
    <x v="5"/>
    <x v="6"/>
    <x v="8"/>
    <x v="5"/>
    <x v="8"/>
    <x v="0"/>
    <x v="5"/>
    <x v="8"/>
    <x v="9"/>
    <x v="8"/>
    <x v="15"/>
    <x v="17"/>
    <s v="N/A"/>
    <s v="Low"/>
    <x v="29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age and Seemann 1993"/>
    <n v="1993"/>
    <x v="5"/>
    <x v="6"/>
    <x v="8"/>
    <x v="5"/>
    <x v="9"/>
    <x v="0"/>
    <x v="5"/>
    <x v="8"/>
    <x v="9"/>
    <x v="8"/>
    <x v="16"/>
    <x v="18"/>
    <s v="Blake"/>
    <s v="Low"/>
    <x v="30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Vu et al. 1984"/>
    <n v="1984"/>
    <x v="5"/>
    <x v="6"/>
    <x v="8"/>
    <x v="5"/>
    <x v="10"/>
    <x v="0"/>
    <x v="5"/>
    <x v="8"/>
    <x v="9"/>
    <x v="8"/>
    <x v="17"/>
    <x v="19"/>
    <s v="N/A"/>
    <s v="High"/>
    <x v="31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age and Seemann 1993"/>
    <n v="1993"/>
    <x v="5"/>
    <x v="6"/>
    <x v="8"/>
    <x v="5"/>
    <x v="10"/>
    <x v="0"/>
    <x v="5"/>
    <x v="8"/>
    <x v="9"/>
    <x v="8"/>
    <x v="17"/>
    <x v="19"/>
    <s v="N/A"/>
    <s v="Low"/>
    <x v="32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age and Seemann 1993"/>
    <n v="1993"/>
    <x v="5"/>
    <x v="6"/>
    <x v="8"/>
    <x v="5"/>
    <x v="11"/>
    <x v="0"/>
    <x v="5"/>
    <x v="8"/>
    <x v="9"/>
    <x v="8"/>
    <x v="18"/>
    <x v="20"/>
    <s v="N/A"/>
    <s v="Low"/>
    <x v="33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age and Seemann 1993"/>
    <n v="1993"/>
    <x v="5"/>
    <x v="6"/>
    <x v="8"/>
    <x v="3"/>
    <x v="3"/>
    <x v="0"/>
    <x v="5"/>
    <x v="8"/>
    <x v="9"/>
    <x v="9"/>
    <x v="19"/>
    <x v="21"/>
    <s v="N/A"/>
    <s v="Low"/>
    <x v="29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Vu et al. 1984"/>
    <n v="1984"/>
    <x v="5"/>
    <x v="6"/>
    <x v="8"/>
    <x v="3"/>
    <x v="3"/>
    <x v="0"/>
    <x v="5"/>
    <x v="8"/>
    <x v="9"/>
    <x v="9"/>
    <x v="19"/>
    <x v="22"/>
    <s v="N/A"/>
    <s v="Moderate"/>
    <x v="34"/>
    <n v="800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Vu et al. 1984"/>
    <n v="1984"/>
    <x v="5"/>
    <x v="6"/>
    <x v="8"/>
    <x v="3"/>
    <x v="12"/>
    <x v="0"/>
    <x v="5"/>
    <x v="8"/>
    <x v="9"/>
    <x v="9"/>
    <x v="20"/>
    <x v="23"/>
    <s v="N/A"/>
    <s v="Moderate"/>
    <x v="35"/>
    <n v="800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age and Seemann 1993"/>
    <n v="1993"/>
    <x v="5"/>
    <x v="6"/>
    <x v="8"/>
    <x v="3"/>
    <x v="12"/>
    <x v="0"/>
    <x v="5"/>
    <x v="8"/>
    <x v="9"/>
    <x v="9"/>
    <x v="20"/>
    <x v="23"/>
    <s v="N/A"/>
    <s v="Low"/>
    <x v="36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age and Seemann 1993"/>
    <n v="1993"/>
    <x v="5"/>
    <x v="6"/>
    <x v="8"/>
    <x v="3"/>
    <x v="13"/>
    <x v="0"/>
    <x v="5"/>
    <x v="8"/>
    <x v="9"/>
    <x v="9"/>
    <x v="21"/>
    <x v="24"/>
    <s v="N/A"/>
    <s v="Low"/>
    <x v="29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Carmo-Silva et al. 2010"/>
    <n v="2010"/>
    <x v="5"/>
    <x v="6"/>
    <x v="8"/>
    <x v="3"/>
    <x v="13"/>
    <x v="0"/>
    <x v="5"/>
    <x v="8"/>
    <x v="9"/>
    <x v="9"/>
    <x v="21"/>
    <x v="24"/>
    <s v="Raki"/>
    <s v="Low"/>
    <x v="37"/>
    <s v="&gt;500"/>
    <n v="0"/>
    <s v="This compares total activity values from dark and light adapted leaf samples. From table 2"/>
    <s v="mmol CO2 /min*mg Rubisco"/>
    <s v="Radiolabelled CO2"/>
    <n v="3"/>
    <n v="1"/>
    <s v="Bicine"/>
    <n v="100"/>
    <n v="20"/>
    <n v="0.5"/>
    <n v="2"/>
    <n v="0.05"/>
    <n v="0.4"/>
    <n v="10"/>
    <n v="0"/>
    <n v="0"/>
    <n v="0"/>
    <n v="0"/>
    <n v="8.1999999999999993"/>
    <n v="25"/>
    <s v="0.3% PEG, 0.05% protease inhibitor cocktail, 0.25% PVP"/>
    <s v="crude leaf"/>
  </r>
  <r>
    <s v="Vu et al. 1984"/>
    <n v="1984"/>
    <x v="5"/>
    <x v="6"/>
    <x v="8"/>
    <x v="6"/>
    <x v="14"/>
    <x v="0"/>
    <x v="5"/>
    <x v="8"/>
    <x v="9"/>
    <x v="10"/>
    <x v="22"/>
    <x v="25"/>
    <s v="McCurdy 84aa"/>
    <s v="Low"/>
    <x v="38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Vu et al. 1984"/>
    <n v="1984"/>
    <x v="5"/>
    <x v="6"/>
    <x v="8"/>
    <x v="6"/>
    <x v="14"/>
    <x v="0"/>
    <x v="5"/>
    <x v="8"/>
    <x v="9"/>
    <x v="10"/>
    <x v="22"/>
    <x v="25"/>
    <s v="McCurdy 84aa"/>
    <s v="Low"/>
    <x v="39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emann et al. 1985"/>
    <n v="1985"/>
    <x v="5"/>
    <x v="6"/>
    <x v="8"/>
    <x v="6"/>
    <x v="14"/>
    <x v="0"/>
    <x v="5"/>
    <x v="8"/>
    <x v="9"/>
    <x v="10"/>
    <x v="22"/>
    <x v="25"/>
    <s v="N/A"/>
    <s v="Low"/>
    <x v="40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5"/>
    <x v="6"/>
    <x v="8"/>
    <x v="6"/>
    <x v="14"/>
    <x v="0"/>
    <x v="5"/>
    <x v="8"/>
    <x v="9"/>
    <x v="10"/>
    <x v="22"/>
    <x v="25"/>
    <s v="N/A"/>
    <s v="Low"/>
    <x v="41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ge and Seemann 1993"/>
    <n v="1993"/>
    <x v="5"/>
    <x v="6"/>
    <x v="8"/>
    <x v="6"/>
    <x v="14"/>
    <x v="0"/>
    <x v="5"/>
    <x v="8"/>
    <x v="9"/>
    <x v="10"/>
    <x v="22"/>
    <x v="25"/>
    <s v="N/A"/>
    <s v="Low"/>
    <x v="42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Vu et al. 1984"/>
    <n v="1984"/>
    <x v="5"/>
    <x v="6"/>
    <x v="8"/>
    <x v="6"/>
    <x v="15"/>
    <x v="0"/>
    <x v="5"/>
    <x v="8"/>
    <x v="9"/>
    <x v="10"/>
    <x v="23"/>
    <x v="26"/>
    <s v="Funks G-522"/>
    <s v="Low"/>
    <x v="43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age and Seemann 1993"/>
    <n v="1993"/>
    <x v="5"/>
    <x v="6"/>
    <x v="8"/>
    <x v="6"/>
    <x v="15"/>
    <x v="0"/>
    <x v="5"/>
    <x v="8"/>
    <x v="9"/>
    <x v="10"/>
    <x v="23"/>
    <x v="26"/>
    <s v="N/A"/>
    <s v="Low"/>
    <x v="42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ervaites et al. 1986"/>
    <n v="1986"/>
    <x v="6"/>
    <x v="7"/>
    <x v="9"/>
    <x v="3"/>
    <x v="16"/>
    <x v="0"/>
    <x v="6"/>
    <x v="9"/>
    <x v="10"/>
    <x v="11"/>
    <x v="24"/>
    <x v="27"/>
    <s v="N/A"/>
    <s v="Low"/>
    <x v="44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6"/>
    <x v="7"/>
    <x v="9"/>
    <x v="3"/>
    <x v="17"/>
    <x v="0"/>
    <x v="6"/>
    <x v="9"/>
    <x v="10"/>
    <x v="11"/>
    <x v="25"/>
    <x v="28"/>
    <s v="N/A"/>
    <s v="Low"/>
    <x v="32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6"/>
    <x v="7"/>
    <x v="8"/>
    <x v="6"/>
    <x v="18"/>
    <x v="0"/>
    <x v="6"/>
    <x v="9"/>
    <x v="11"/>
    <x v="12"/>
    <x v="26"/>
    <x v="29"/>
    <s v="N/A"/>
    <s v="Moderate"/>
    <x v="45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emann et al. 1985"/>
    <n v="1985"/>
    <x v="6"/>
    <x v="7"/>
    <x v="8"/>
    <x v="6"/>
    <x v="19"/>
    <x v="0"/>
    <x v="6"/>
    <x v="9"/>
    <x v="11"/>
    <x v="12"/>
    <x v="27"/>
    <x v="30"/>
    <s v="N/A"/>
    <s v="Low"/>
    <x v="40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6"/>
    <x v="7"/>
    <x v="8"/>
    <x v="6"/>
    <x v="20"/>
    <x v="0"/>
    <x v="6"/>
    <x v="9"/>
    <x v="11"/>
    <x v="12"/>
    <x v="28"/>
    <x v="31"/>
    <s v="N/A"/>
    <s v="Moderate"/>
    <x v="46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emann et al. 1985"/>
    <n v="1985"/>
    <x v="6"/>
    <x v="7"/>
    <x v="8"/>
    <x v="6"/>
    <x v="21"/>
    <x v="0"/>
    <x v="6"/>
    <x v="9"/>
    <x v="11"/>
    <x v="12"/>
    <x v="29"/>
    <x v="32"/>
    <s v="N/A"/>
    <s v="Low"/>
    <x v="21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age and Seemann 1993"/>
    <n v="1993"/>
    <x v="6"/>
    <x v="7"/>
    <x v="8"/>
    <x v="7"/>
    <x v="22"/>
    <x v="0"/>
    <x v="6"/>
    <x v="9"/>
    <x v="11"/>
    <x v="13"/>
    <x v="30"/>
    <x v="33"/>
    <s v="N/A"/>
    <s v="Low"/>
    <x v="30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ervaites et al. 1986"/>
    <n v="1986"/>
    <x v="7"/>
    <x v="5"/>
    <x v="6"/>
    <x v="1"/>
    <x v="0"/>
    <x v="0"/>
    <x v="7"/>
    <x v="10"/>
    <x v="12"/>
    <x v="14"/>
    <x v="31"/>
    <x v="34"/>
    <s v="N/A"/>
    <s v="Moderate"/>
    <x v="46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lvucci and Anderson 1987"/>
    <n v="1987"/>
    <x v="7"/>
    <x v="5"/>
    <x v="10"/>
    <x v="4"/>
    <x v="0"/>
    <x v="0"/>
    <x v="7"/>
    <x v="10"/>
    <x v="13"/>
    <x v="15"/>
    <x v="32"/>
    <x v="35"/>
    <s v="pulmila"/>
    <s v="High"/>
    <x v="47"/>
    <n v="1000"/>
    <s v="Full Dark"/>
    <s v="This compares total activity values from light and dark treated protoplasts; data points approximated using SplineCloud plot digitizer, from figurer 1 , 2, and 3a"/>
    <s v="umol CO2 / mg chl * hr"/>
    <s v="Radiolabelled CO2"/>
    <n v="5"/>
    <n v="0.5"/>
    <s v="Tricine"/>
    <n v="100"/>
    <n v="10"/>
    <n v="2"/>
    <n v="0"/>
    <n v="0"/>
    <n v="0.4"/>
    <n v="10"/>
    <n v="0"/>
    <n v="0"/>
    <n v="0"/>
    <n v="0"/>
    <n v="8"/>
    <n v="25"/>
    <s v="0.1% Casein, 0.1% Trtion X-100"/>
    <s v="Protoplast"/>
  </r>
  <r>
    <s v="Salvucci and Anderson 1987"/>
    <n v="1987"/>
    <x v="7"/>
    <x v="5"/>
    <x v="10"/>
    <x v="4"/>
    <x v="0"/>
    <x v="0"/>
    <x v="7"/>
    <x v="10"/>
    <x v="13"/>
    <x v="15"/>
    <x v="32"/>
    <x v="35"/>
    <s v="pulmila"/>
    <s v="High"/>
    <x v="48"/>
    <n v="1000"/>
    <s v="Full Dark"/>
    <s v="This compares total activity values from light and dark treated protoplasts; data points approximated using SplineCloud plot digitizer, from figurer 1 , 2, and 3a"/>
    <s v="umol CO2 / mg chl * hr"/>
    <s v="Radiolabelled CO2"/>
    <n v="5"/>
    <n v="0.5"/>
    <s v="Tricine"/>
    <n v="100"/>
    <n v="10"/>
    <n v="2"/>
    <n v="0"/>
    <n v="0"/>
    <n v="0.4"/>
    <n v="10"/>
    <n v="0"/>
    <n v="0"/>
    <n v="0"/>
    <n v="0"/>
    <n v="8"/>
    <n v="25"/>
    <s v="0.1% Casein, 0.1% Trtion X-100"/>
    <s v="Protoplast"/>
  </r>
  <r>
    <s v="Salvucci and Anderson 1987"/>
    <n v="1987"/>
    <x v="7"/>
    <x v="5"/>
    <x v="10"/>
    <x v="4"/>
    <x v="0"/>
    <x v="0"/>
    <x v="7"/>
    <x v="10"/>
    <x v="13"/>
    <x v="15"/>
    <x v="32"/>
    <x v="35"/>
    <s v="pulmila"/>
    <s v="High"/>
    <x v="49"/>
    <n v="1000"/>
    <s v="Full Dark"/>
    <s v="This compares total activity values from light and dark treated protoplasts; data points approximated using SplineCloud plot digitizer, from figurer 1 , 2, and 3a"/>
    <s v="umol CO2 / mg chl * hr"/>
    <s v="Radiolabelled CO2"/>
    <n v="5"/>
    <n v="0.5"/>
    <s v="Tricine"/>
    <n v="100"/>
    <n v="10"/>
    <n v="2"/>
    <n v="0"/>
    <n v="0"/>
    <n v="0.4"/>
    <n v="10"/>
    <n v="0"/>
    <n v="0"/>
    <n v="0"/>
    <n v="0"/>
    <n v="8"/>
    <n v="25"/>
    <s v="0.1% Casein, 0.1% Trtion X-100"/>
    <s v="Protoplast"/>
  </r>
  <r>
    <s v="Vu et al. 1984"/>
    <n v="1984"/>
    <x v="7"/>
    <x v="5"/>
    <x v="10"/>
    <x v="4"/>
    <x v="0"/>
    <x v="0"/>
    <x v="7"/>
    <x v="10"/>
    <x v="13"/>
    <x v="15"/>
    <x v="32"/>
    <x v="36"/>
    <s v="Wisconsin 38"/>
    <s v="High"/>
    <x v="50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rvaites 1985"/>
    <n v="1985"/>
    <x v="7"/>
    <x v="5"/>
    <x v="10"/>
    <x v="4"/>
    <x v="0"/>
    <x v="0"/>
    <x v="7"/>
    <x v="10"/>
    <x v="13"/>
    <x v="15"/>
    <x v="32"/>
    <x v="36"/>
    <s v="Virginia Gold"/>
    <s v="High"/>
    <x v="51"/>
    <s v="Sunlight"/>
    <s v="Full Darkness (predawn)"/>
    <s v="This compares total activity values from predawn and midday samples. From table I"/>
    <s v="units/mg enzyme"/>
    <s v="Radiolabelled CO2"/>
    <n v="10"/>
    <n v="1"/>
    <s v="Tris-HCl 50"/>
    <n v="50"/>
    <n v="5"/>
    <n v="0"/>
    <n v="5"/>
    <n v="0.01"/>
    <n v="0.8"/>
    <n v="10"/>
    <n v="0"/>
    <n v="0"/>
    <n v="0"/>
    <n v="0"/>
    <n v="8.1999999999999993"/>
    <n v="25"/>
    <s v="?"/>
    <s v="Purified leaf rubisco"/>
  </r>
  <r>
    <s v="Servaites et al. 1986"/>
    <n v="1986"/>
    <x v="7"/>
    <x v="5"/>
    <x v="10"/>
    <x v="4"/>
    <x v="0"/>
    <x v="0"/>
    <x v="7"/>
    <x v="10"/>
    <x v="13"/>
    <x v="15"/>
    <x v="32"/>
    <x v="36"/>
    <s v="N/A"/>
    <s v="High"/>
    <x v="52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Mate et al. 1993"/>
    <n v="1993"/>
    <x v="7"/>
    <x v="5"/>
    <x v="10"/>
    <x v="4"/>
    <x v="0"/>
    <x v="0"/>
    <x v="7"/>
    <x v="10"/>
    <x v="13"/>
    <x v="15"/>
    <x v="32"/>
    <x v="36"/>
    <s v="Klein"/>
    <s v="High"/>
    <x v="53"/>
    <n v="1000"/>
    <n v="0"/>
    <s v="This compares total activity values from light and dark from table III"/>
    <s v="mol CO2 / mol Rubisco * s"/>
    <s v="Radiolabelled CO2"/>
    <n v="10"/>
    <n v="1"/>
    <s v="Tricine"/>
    <n v="50"/>
    <n v="20"/>
    <n v="10"/>
    <n v="0"/>
    <n v="0.25"/>
    <n v="0.5"/>
    <n v="20"/>
    <n v="0"/>
    <n v="0"/>
    <n v="0"/>
    <n v="0"/>
    <n v="8.3000000000000007"/>
    <n v="25"/>
    <s v="?"/>
    <s v="crude leaf"/>
  </r>
  <r>
    <s v="Parry et al. 1993"/>
    <n v="1993"/>
    <x v="7"/>
    <x v="5"/>
    <x v="10"/>
    <x v="4"/>
    <x v="0"/>
    <x v="0"/>
    <x v="7"/>
    <x v="10"/>
    <x v="13"/>
    <x v="15"/>
    <x v="32"/>
    <x v="36"/>
    <s v="Wisconsin 38"/>
    <s v="High"/>
    <x v="54"/>
    <n v="1600"/>
    <n v="0"/>
    <s v="This compares total activity values from daylight and predawn dark; data points approximated using SplineCloud plot digitizer, from Figure 2c"/>
    <s v="mmol CO2 / kg protein * s"/>
    <s v="Radiolabelled CO2"/>
    <n v="3"/>
    <s v="?"/>
    <s v="Bicine"/>
    <n v="100"/>
    <n v="10"/>
    <n v="0"/>
    <n v="2.5"/>
    <n v="0"/>
    <n v="0.4"/>
    <n v="10"/>
    <n v="0"/>
    <n v="0"/>
    <n v="0"/>
    <n v="0"/>
    <n v="8"/>
    <s v="RT"/>
    <s v="0.1mM phenylmethylsulphonyl flouride"/>
    <s v="crude leaf"/>
  </r>
  <r>
    <s v="Parry et al. 1997"/>
    <n v="1997"/>
    <x v="7"/>
    <x v="5"/>
    <x v="10"/>
    <x v="4"/>
    <x v="0"/>
    <x v="0"/>
    <x v="7"/>
    <x v="10"/>
    <x v="13"/>
    <x v="15"/>
    <x v="32"/>
    <x v="36"/>
    <s v="N/A"/>
    <s v="Moderate"/>
    <x v="55"/>
    <n v="600"/>
    <n v="0"/>
    <s v="This compares total activity values from no light to light activity in figure 2"/>
    <s v="nmoles CO2 / min * mg protein"/>
    <s v="Radiolabelled CO2"/>
    <n v="3"/>
    <s v="?"/>
    <s v="Bicine"/>
    <n v="100"/>
    <n v="10"/>
    <n v="0"/>
    <n v="0.25"/>
    <n v="0"/>
    <n v="0.4"/>
    <n v="10"/>
    <n v="0"/>
    <n v="0"/>
    <n v="0"/>
    <n v="0"/>
    <n v="8"/>
    <s v="?"/>
    <s v="0.001 phenylmethylsulphonyl flouride"/>
    <s v="crude leaf"/>
  </r>
  <r>
    <s v="Carmo-Silva and Salvucci 2013"/>
    <n v="2013"/>
    <x v="7"/>
    <x v="5"/>
    <x v="10"/>
    <x v="4"/>
    <x v="0"/>
    <x v="0"/>
    <x v="7"/>
    <x v="10"/>
    <x v="13"/>
    <x v="15"/>
    <x v="32"/>
    <x v="36"/>
    <s v="Petit Havana"/>
    <s v="Moderate"/>
    <x v="56"/>
    <n v="1800"/>
    <n v="30"/>
    <s v="This compares total activity values high and low light treated leaf samples; from table I"/>
    <s v="umol CO2 /min * mg protein"/>
    <s v="Radiolabelled CO2"/>
    <n v="3"/>
    <n v="0.5"/>
    <s v="Tricine"/>
    <n v="100"/>
    <n v="10"/>
    <n v="0.4"/>
    <n v="0"/>
    <n v="0.08"/>
    <n v="0.4"/>
    <n v="10"/>
    <n v="0"/>
    <n v="0"/>
    <n v="0"/>
    <n v="0"/>
    <n v="8"/>
    <n v="30"/>
    <s v="0.4% PVP, 0.08mM PMSF, 0.8uM Leupeptin, 0.48% PEG"/>
    <s v="crude leaf"/>
  </r>
  <r>
    <s v="Servaites et al. 1986"/>
    <n v="1986"/>
    <x v="7"/>
    <x v="5"/>
    <x v="3"/>
    <x v="7"/>
    <x v="3"/>
    <x v="0"/>
    <x v="7"/>
    <x v="10"/>
    <x v="14"/>
    <x v="16"/>
    <x v="33"/>
    <x v="37"/>
    <s v="N/A"/>
    <s v="High"/>
    <x v="57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7"/>
    <x v="5"/>
    <x v="3"/>
    <x v="8"/>
    <x v="1"/>
    <x v="0"/>
    <x v="7"/>
    <x v="10"/>
    <x v="14"/>
    <x v="17"/>
    <x v="34"/>
    <x v="38"/>
    <s v="N/A"/>
    <s v="Moderate"/>
    <x v="58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7"/>
    <x v="5"/>
    <x v="3"/>
    <x v="9"/>
    <x v="6"/>
    <x v="1"/>
    <x v="7"/>
    <x v="10"/>
    <x v="14"/>
    <x v="18"/>
    <x v="35"/>
    <x v="39"/>
    <s v="N/A"/>
    <s v="Moderate"/>
    <x v="46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7"/>
    <x v="5"/>
    <x v="3"/>
    <x v="9"/>
    <x v="6"/>
    <x v="2"/>
    <x v="7"/>
    <x v="10"/>
    <x v="14"/>
    <x v="18"/>
    <x v="35"/>
    <x v="40"/>
    <s v="N/A"/>
    <s v="High"/>
    <x v="59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Vu et al. 1984"/>
    <n v="1984"/>
    <x v="7"/>
    <x v="5"/>
    <x v="3"/>
    <x v="9"/>
    <x v="6"/>
    <x v="3"/>
    <x v="7"/>
    <x v="10"/>
    <x v="14"/>
    <x v="18"/>
    <x v="35"/>
    <x v="41"/>
    <s v="Better Boy"/>
    <s v="Moderate"/>
    <x v="60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rvaites et al. 1986"/>
    <n v="1986"/>
    <x v="7"/>
    <x v="5"/>
    <x v="3"/>
    <x v="9"/>
    <x v="6"/>
    <x v="3"/>
    <x v="7"/>
    <x v="10"/>
    <x v="14"/>
    <x v="18"/>
    <x v="35"/>
    <x v="41"/>
    <s v="N/A"/>
    <s v="Moderate"/>
    <x v="61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7"/>
    <x v="5"/>
    <x v="3"/>
    <x v="9"/>
    <x v="6"/>
    <x v="4"/>
    <x v="7"/>
    <x v="10"/>
    <x v="14"/>
    <x v="18"/>
    <x v="35"/>
    <x v="42"/>
    <s v="Phureja"/>
    <s v="High"/>
    <x v="62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7"/>
    <x v="5"/>
    <x v="3"/>
    <x v="9"/>
    <x v="6"/>
    <x v="4"/>
    <x v="7"/>
    <x v="10"/>
    <x v="14"/>
    <x v="18"/>
    <x v="35"/>
    <x v="42"/>
    <s v="N/A"/>
    <s v="Moderate"/>
    <x v="63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7"/>
    <x v="5"/>
    <x v="3"/>
    <x v="9"/>
    <x v="6"/>
    <x v="5"/>
    <x v="7"/>
    <x v="10"/>
    <x v="14"/>
    <x v="18"/>
    <x v="35"/>
    <x v="43"/>
    <s v="N/A"/>
    <s v="High"/>
    <x v="64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ge and Seemann 1993"/>
    <n v="1993"/>
    <x v="8"/>
    <x v="2"/>
    <x v="1"/>
    <x v="10"/>
    <x v="0"/>
    <x v="0"/>
    <x v="8"/>
    <x v="11"/>
    <x v="15"/>
    <x v="0"/>
    <x v="36"/>
    <x v="44"/>
    <s v="N/A"/>
    <s v="Low"/>
    <x v="65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ervaites et al. 1986"/>
    <n v="1986"/>
    <x v="8"/>
    <x v="2"/>
    <x v="1"/>
    <x v="10"/>
    <x v="0"/>
    <x v="0"/>
    <x v="8"/>
    <x v="11"/>
    <x v="15"/>
    <x v="0"/>
    <x v="36"/>
    <x v="45"/>
    <s v="N/A"/>
    <s v="Low"/>
    <x v="66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8"/>
    <x v="2"/>
    <x v="4"/>
    <x v="1"/>
    <x v="0"/>
    <x v="0"/>
    <x v="8"/>
    <x v="11"/>
    <x v="16"/>
    <x v="19"/>
    <x v="37"/>
    <x v="46"/>
    <s v="N/A"/>
    <s v="Low"/>
    <x v="67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Kobza and Seemann 1988"/>
    <n v="1988"/>
    <x v="8"/>
    <x v="2"/>
    <x v="4"/>
    <x v="1"/>
    <x v="0"/>
    <x v="0"/>
    <x v="8"/>
    <x v="11"/>
    <x v="16"/>
    <x v="19"/>
    <x v="37"/>
    <x v="46"/>
    <s v="N/A"/>
    <s v="High"/>
    <x v="68"/>
    <n v="1000"/>
    <n v="0"/>
    <s v="This compares total activity values from light and dark; data points approximated using SplineCloud plot digitizer, from figures 1B, 2B, and 3B"/>
    <s v="mol CO2 / mol Rubisco * s"/>
    <s v="Radiolabelled CO2"/>
    <n v="10"/>
    <n v="0.5"/>
    <s v="Bicine"/>
    <n v="100"/>
    <n v="10"/>
    <n v="1"/>
    <n v="0"/>
    <n v="0.1"/>
    <n v="0.5"/>
    <n v="20"/>
    <n v="0"/>
    <n v="0"/>
    <n v="0"/>
    <n v="0"/>
    <n v="7.8"/>
    <n v="25"/>
    <s v="?"/>
    <s v="crude leaf"/>
  </r>
  <r>
    <s v="Kobza and Seemann 1989"/>
    <n v="1989"/>
    <x v="8"/>
    <x v="2"/>
    <x v="4"/>
    <x v="1"/>
    <x v="0"/>
    <x v="0"/>
    <x v="8"/>
    <x v="11"/>
    <x v="16"/>
    <x v="19"/>
    <x v="37"/>
    <x v="46"/>
    <s v="SSBN1"/>
    <s v="High"/>
    <x v="69"/>
    <n v="1000"/>
    <n v="0"/>
    <s v="This compares total activity values from light and dark; data points approximated using SplineCloud plot digitizer, from figures 2A, 3A, and 4A"/>
    <s v="mol CO2 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Kobza and Seemann 1989b"/>
    <n v="1989"/>
    <x v="8"/>
    <x v="2"/>
    <x v="4"/>
    <x v="1"/>
    <x v="0"/>
    <x v="0"/>
    <x v="8"/>
    <x v="11"/>
    <x v="16"/>
    <x v="19"/>
    <x v="37"/>
    <x v="46"/>
    <s v="SSBN1"/>
    <s v="High"/>
    <x v="70"/>
    <n v="1450"/>
    <n v="0"/>
    <s v="This compares total activity values from light and dark; these are estimates from figures 1C, 2C, and 3C"/>
    <s v="mol CO2 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Servaites et al. 1991"/>
    <n v="1991"/>
    <x v="8"/>
    <x v="2"/>
    <x v="4"/>
    <x v="1"/>
    <x v="0"/>
    <x v="0"/>
    <x v="8"/>
    <x v="11"/>
    <x v="16"/>
    <x v="19"/>
    <x v="37"/>
    <x v="46"/>
    <s v="Klein"/>
    <s v="Moderate"/>
    <x v="71"/>
    <n v="800"/>
    <n v="0"/>
    <s v="This compares total activity values from light and dark; data points approximated using SplineCloud plot digitizer, from figure 1B"/>
    <s v="umol CO2 / m^2 * s"/>
    <s v="Radiolabelled CO2"/>
    <n v="10"/>
    <n v="0.5"/>
    <s v="HEPES"/>
    <n v="100"/>
    <n v="30"/>
    <n v="1"/>
    <n v="14"/>
    <n v="0.5"/>
    <n v="0.6"/>
    <n v="12"/>
    <n v="0"/>
    <n v="0"/>
    <n v="0"/>
    <n v="0"/>
    <n v="7.7"/>
    <n v="5"/>
    <s v="20mM KCl"/>
    <s v="crude leaf"/>
  </r>
  <r>
    <s v="Seemann et al. 1985"/>
    <n v="1985"/>
    <x v="8"/>
    <x v="2"/>
    <x v="10"/>
    <x v="1"/>
    <x v="0"/>
    <x v="0"/>
    <x v="8"/>
    <x v="11"/>
    <x v="17"/>
    <x v="20"/>
    <x v="38"/>
    <x v="47"/>
    <s v="N/A"/>
    <s v="Low"/>
    <x v="21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8"/>
    <x v="2"/>
    <x v="10"/>
    <x v="1"/>
    <x v="0"/>
    <x v="0"/>
    <x v="8"/>
    <x v="11"/>
    <x v="17"/>
    <x v="20"/>
    <x v="38"/>
    <x v="47"/>
    <s v="N/A"/>
    <s v="Low"/>
    <x v="72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Kobza and Seemann 1988"/>
    <n v="1988"/>
    <x v="8"/>
    <x v="2"/>
    <x v="10"/>
    <x v="1"/>
    <x v="0"/>
    <x v="0"/>
    <x v="8"/>
    <x v="11"/>
    <x v="17"/>
    <x v="20"/>
    <x v="38"/>
    <x v="47"/>
    <s v="N/A"/>
    <s v="Low"/>
    <x v="73"/>
    <n v="2500"/>
    <n v="0"/>
    <s v="This compares total activity values from light and dark; data points approximated using SplineCloud plot digitizer, from figures 1B, 2B, and 3B"/>
    <s v="mol CO2 / mol Rubisco * s"/>
    <s v="Radiolabelled CO2"/>
    <n v="10"/>
    <n v="0.5"/>
    <s v="Bicine"/>
    <n v="100"/>
    <n v="10"/>
    <n v="1"/>
    <n v="0"/>
    <n v="0.1"/>
    <n v="0.5"/>
    <n v="20"/>
    <n v="0"/>
    <n v="0"/>
    <n v="0"/>
    <n v="0"/>
    <n v="7.8"/>
    <n v="25"/>
    <s v="?"/>
    <s v="crude leaf"/>
  </r>
  <r>
    <s v="Kobza and Seemann 1989"/>
    <n v="1989"/>
    <x v="8"/>
    <x v="2"/>
    <x v="10"/>
    <x v="1"/>
    <x v="0"/>
    <x v="0"/>
    <x v="8"/>
    <x v="11"/>
    <x v="17"/>
    <x v="20"/>
    <x v="38"/>
    <x v="47"/>
    <s v="Polka"/>
    <s v="Low"/>
    <x v="74"/>
    <n v="1100"/>
    <n v="0"/>
    <s v="This compares total activity values from light and dark; data points approximated using SplineCloud plot digitizer, from figures 2A, 3A, and 4A"/>
    <s v="mol CO2 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Kobza and Seemann 1989b"/>
    <n v="1989"/>
    <x v="8"/>
    <x v="2"/>
    <x v="10"/>
    <x v="1"/>
    <x v="0"/>
    <x v="0"/>
    <x v="8"/>
    <x v="11"/>
    <x v="17"/>
    <x v="20"/>
    <x v="38"/>
    <x v="47"/>
    <s v="N/A"/>
    <s v="Moderate"/>
    <x v="75"/>
    <n v="1450"/>
    <n v="0"/>
    <s v="This compares total activity values from light and dark; these are estimates from figures 1C, 2C, and 3C"/>
    <s v="mol CO2 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Campbell and Ogren 1990"/>
    <n v="1990"/>
    <x v="8"/>
    <x v="2"/>
    <x v="10"/>
    <x v="1"/>
    <x v="0"/>
    <x v="0"/>
    <x v="8"/>
    <x v="11"/>
    <x v="17"/>
    <x v="20"/>
    <x v="38"/>
    <x v="47"/>
    <s v="N/A"/>
    <s v="Low"/>
    <x v="21"/>
    <n v="1000"/>
    <n v="0"/>
    <s v="This compares total activity values from light and dark; this paper found no significant between rubisco total activty from dark, low light and high light treatments"/>
    <s v="umol CO2 / mg chl * hr"/>
    <s v="Radiolabelled CO2"/>
    <s v="&gt;12"/>
    <n v="2"/>
    <s v="Tricine"/>
    <n v="110"/>
    <n v="11"/>
    <n v="0"/>
    <n v="0"/>
    <n v="0"/>
    <n v="0.9"/>
    <n v="10"/>
    <n v="0"/>
    <n v="0"/>
    <n v="0"/>
    <n v="0"/>
    <n v="8"/>
    <n v="24"/>
    <s v="Traces of ATP, PEP, pyruvate kinase"/>
    <s v="crude chloroplast"/>
  </r>
  <r>
    <s v="Sage and Seemann 1993"/>
    <n v="1993"/>
    <x v="8"/>
    <x v="2"/>
    <x v="10"/>
    <x v="1"/>
    <x v="0"/>
    <x v="0"/>
    <x v="8"/>
    <x v="11"/>
    <x v="17"/>
    <x v="20"/>
    <x v="38"/>
    <x v="47"/>
    <s v="N/A"/>
    <s v="Low"/>
    <x v="76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ervaites et al. 1986"/>
    <n v="1986"/>
    <x v="8"/>
    <x v="2"/>
    <x v="10"/>
    <x v="4"/>
    <x v="3"/>
    <x v="0"/>
    <x v="8"/>
    <x v="11"/>
    <x v="17"/>
    <x v="21"/>
    <x v="39"/>
    <x v="48"/>
    <s v="N/A"/>
    <s v="Low"/>
    <x v="77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ge et al. 1993"/>
    <n v="1993"/>
    <x v="8"/>
    <x v="2"/>
    <x v="10"/>
    <x v="4"/>
    <x v="3"/>
    <x v="0"/>
    <x v="8"/>
    <x v="11"/>
    <x v="17"/>
    <x v="21"/>
    <x v="39"/>
    <x v="48"/>
    <s v="N/A"/>
    <s v="Low"/>
    <x v="78"/>
    <n v="1200"/>
    <n v="50"/>
    <s v="This compares total activity values from light and dark; from Table 2; supplemental material shows evidence of sig. different kcat of activation temp for rubisco"/>
    <s v="mol CO2 / mol Rubisco * s"/>
    <s v="Radiolabelled CO2"/>
    <n v="10"/>
    <n v="1"/>
    <s v="Bicine"/>
    <n v="100"/>
    <n v="20"/>
    <n v="1"/>
    <n v="0"/>
    <n v="0"/>
    <n v="0.5"/>
    <n v="10"/>
    <n v="0"/>
    <n v="0"/>
    <n v="0"/>
    <n v="0"/>
    <n v="8"/>
    <n v="25"/>
    <s v="4mM amino-caproic acid, 08mM benzamide, 0.1% BSA, 1.5% PVP"/>
    <s v="crude leaf"/>
  </r>
  <r>
    <s v="Sage and Seemann 1993"/>
    <n v="1993"/>
    <x v="8"/>
    <x v="2"/>
    <x v="10"/>
    <x v="4"/>
    <x v="3"/>
    <x v="0"/>
    <x v="8"/>
    <x v="11"/>
    <x v="17"/>
    <x v="21"/>
    <x v="39"/>
    <x v="48"/>
    <s v="N/A"/>
    <s v="Low"/>
    <x v="79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age and Seemann 1993"/>
    <n v="1993"/>
    <x v="8"/>
    <x v="2"/>
    <x v="10"/>
    <x v="4"/>
    <x v="4"/>
    <x v="0"/>
    <x v="8"/>
    <x v="11"/>
    <x v="17"/>
    <x v="21"/>
    <x v="40"/>
    <x v="49"/>
    <s v="N/A"/>
    <s v="Low"/>
    <x v="79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ervaites et al. 1986"/>
    <n v="1986"/>
    <x v="8"/>
    <x v="8"/>
    <x v="11"/>
    <x v="0"/>
    <x v="23"/>
    <x v="0"/>
    <x v="8"/>
    <x v="12"/>
    <x v="18"/>
    <x v="0"/>
    <x v="41"/>
    <x v="50"/>
    <s v="N/A"/>
    <s v="Moderate"/>
    <x v="80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8"/>
    <x v="9"/>
    <x v="0"/>
    <x v="0"/>
    <x v="0"/>
    <x v="0"/>
    <x v="8"/>
    <x v="13"/>
    <x v="0"/>
    <x v="0"/>
    <x v="42"/>
    <x v="51"/>
    <s v="N/A"/>
    <s v="Moderate"/>
    <x v="81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age and Seemann 1993"/>
    <n v="1993"/>
    <x v="8"/>
    <x v="9"/>
    <x v="0"/>
    <x v="0"/>
    <x v="0"/>
    <x v="0"/>
    <x v="8"/>
    <x v="13"/>
    <x v="0"/>
    <x v="0"/>
    <x v="42"/>
    <x v="51"/>
    <s v="N/A"/>
    <s v="Low"/>
    <x v="42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age and Seemann 1993"/>
    <n v="1993"/>
    <x v="8"/>
    <x v="9"/>
    <x v="0"/>
    <x v="0"/>
    <x v="0"/>
    <x v="0"/>
    <x v="8"/>
    <x v="13"/>
    <x v="0"/>
    <x v="0"/>
    <x v="42"/>
    <x v="52"/>
    <s v="N/A"/>
    <s v="Low"/>
    <x v="30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Servaites et al. 1986"/>
    <n v="1986"/>
    <x v="9"/>
    <x v="10"/>
    <x v="1"/>
    <x v="0"/>
    <x v="0"/>
    <x v="0"/>
    <x v="9"/>
    <x v="14"/>
    <x v="19"/>
    <x v="0"/>
    <x v="43"/>
    <x v="53"/>
    <s v="N/A"/>
    <s v="Moderate"/>
    <x v="82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rvaites et al. 1986"/>
    <n v="1986"/>
    <x v="9"/>
    <x v="10"/>
    <x v="5"/>
    <x v="0"/>
    <x v="0"/>
    <x v="0"/>
    <x v="9"/>
    <x v="14"/>
    <x v="20"/>
    <x v="0"/>
    <x v="44"/>
    <x v="54"/>
    <s v="N/A"/>
    <s v="Low"/>
    <x v="83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Maxwell et al. 1999"/>
    <n v="1999"/>
    <x v="9"/>
    <x v="10"/>
    <x v="5"/>
    <x v="0"/>
    <x v="0"/>
    <x v="0"/>
    <x v="9"/>
    <x v="14"/>
    <x v="20"/>
    <x v="0"/>
    <x v="44"/>
    <x v="55"/>
    <s v="Hamet et Perr"/>
    <s v="Moderate"/>
    <x v="84"/>
    <n v="500"/>
    <s v="Dark  "/>
    <s v="This compares total activity values from predawn and midday activities. Data points approximated using SplineCloud plot digitizer, from figure 5A"/>
    <s v="umol CO2/m^2*s"/>
    <s v="Radiolabelled CO2"/>
    <n v="8"/>
    <n v="1"/>
    <s v="Bicine"/>
    <n v="166"/>
    <n v="10"/>
    <n v="5"/>
    <n v="2.8"/>
    <n v="1"/>
    <n v="0.5"/>
    <n v="25"/>
    <n v="0"/>
    <n v="0"/>
    <n v="0"/>
    <n v="0"/>
    <n v="8"/>
    <n v="30"/>
    <s v="0.6% PVP, 3% PEG, 0.5% Tween, 20mM PMSF, 100mg/ml PVPP"/>
    <s v="crude leaf"/>
  </r>
  <r>
    <s v="Maxwell et al. 2002"/>
    <n v="2002"/>
    <x v="9"/>
    <x v="10"/>
    <x v="5"/>
    <x v="0"/>
    <x v="0"/>
    <x v="0"/>
    <x v="9"/>
    <x v="14"/>
    <x v="20"/>
    <x v="0"/>
    <x v="44"/>
    <x v="55"/>
    <s v="N/A"/>
    <s v="High"/>
    <x v="85"/>
    <n v="300"/>
    <n v="0"/>
    <s v="This compares total activity values from predawn and highest day values. Data points approximated using SplineCloud plot digitizer, from figures 3a, 6c, and 8b"/>
    <s v="umol CO2/m^2*s"/>
    <s v="Radiolabelled CO2"/>
    <n v="7"/>
    <n v="1"/>
    <s v="HEPES-KOH"/>
    <n v="166"/>
    <n v="10"/>
    <n v="4"/>
    <n v="2.8"/>
    <n v="1"/>
    <n v="5"/>
    <n v="20"/>
    <n v="0"/>
    <n v="0"/>
    <n v="0"/>
    <n v="0"/>
    <n v="8"/>
    <n v="30"/>
    <s v="PVPP, PEG, Tween, PVP"/>
    <s v="crude leaf"/>
  </r>
  <r>
    <s v="Servaites et al. 1986"/>
    <n v="1986"/>
    <x v="9"/>
    <x v="10"/>
    <x v="11"/>
    <x v="1"/>
    <x v="24"/>
    <x v="0"/>
    <x v="9"/>
    <x v="14"/>
    <x v="21"/>
    <x v="22"/>
    <x v="45"/>
    <x v="56"/>
    <s v="N/A"/>
    <s v="Low"/>
    <x v="86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emann et al. 1985"/>
    <n v="1985"/>
    <x v="10"/>
    <x v="4"/>
    <x v="5"/>
    <x v="6"/>
    <x v="14"/>
    <x v="0"/>
    <x v="10"/>
    <x v="15"/>
    <x v="22"/>
    <x v="23"/>
    <x v="46"/>
    <x v="57"/>
    <s v="N/A"/>
    <s v="Low"/>
    <x v="21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11"/>
    <x v="11"/>
    <x v="3"/>
    <x v="11"/>
    <x v="23"/>
    <x v="0"/>
    <x v="11"/>
    <x v="16"/>
    <x v="23"/>
    <x v="24"/>
    <x v="47"/>
    <x v="58"/>
    <s v="N/A"/>
    <s v="Moderate"/>
    <x v="87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Seemann et al. 1985"/>
    <n v="1985"/>
    <x v="11"/>
    <x v="11"/>
    <x v="3"/>
    <x v="12"/>
    <x v="12"/>
    <x v="0"/>
    <x v="11"/>
    <x v="16"/>
    <x v="23"/>
    <x v="25"/>
    <x v="48"/>
    <x v="59"/>
    <s v="N/A"/>
    <s v="High"/>
    <x v="88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11"/>
    <x v="11"/>
    <x v="3"/>
    <x v="12"/>
    <x v="12"/>
    <x v="0"/>
    <x v="11"/>
    <x v="16"/>
    <x v="23"/>
    <x v="25"/>
    <x v="48"/>
    <x v="59"/>
    <s v="N/A"/>
    <s v="High"/>
    <x v="89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Maxwell et al. 2002"/>
    <n v="2002"/>
    <x v="11"/>
    <x v="12"/>
    <x v="0"/>
    <x v="13"/>
    <x v="0"/>
    <x v="0"/>
    <x v="12"/>
    <x v="17"/>
    <x v="0"/>
    <x v="26"/>
    <x v="49"/>
    <x v="60"/>
    <s v="Decora"/>
    <s v="High"/>
    <x v="90"/>
    <n v="300"/>
    <n v="0"/>
    <s v="This compares total activity values from predawn and highest day values. Data points approximated using SplineCloud plot digitizer, from figures 3a, 6c, and 8b"/>
    <s v="% maximum"/>
    <s v="Radiolabelled CO2"/>
    <n v="7"/>
    <n v="1"/>
    <s v="HEPES-KOH"/>
    <n v="166"/>
    <n v="10"/>
    <n v="4"/>
    <n v="2.8"/>
    <n v="1"/>
    <n v="5"/>
    <n v="20"/>
    <n v="0"/>
    <n v="0"/>
    <n v="0"/>
    <n v="0"/>
    <n v="8"/>
    <n v="30"/>
    <s v="PVPP, PEG, Tween, PVP"/>
    <s v="crude leaf"/>
  </r>
  <r>
    <s v="Holbrook 1992"/>
    <n v="1992"/>
    <x v="12"/>
    <x v="5"/>
    <x v="1"/>
    <x v="1"/>
    <x v="0"/>
    <x v="0"/>
    <x v="13"/>
    <x v="18"/>
    <x v="24"/>
    <x v="27"/>
    <x v="50"/>
    <x v="61"/>
    <s v="N/A"/>
    <s v="Moderate"/>
    <x v="9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4"/>
    <x v="1"/>
    <x v="0"/>
    <x v="0"/>
    <x v="13"/>
    <x v="18"/>
    <x v="25"/>
    <x v="28"/>
    <x v="51"/>
    <x v="62"/>
    <s v="N/A"/>
    <s v="Moderate"/>
    <x v="9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hirke &amp; Pathre 2004"/>
    <n v="2004"/>
    <x v="12"/>
    <x v="5"/>
    <x v="4"/>
    <x v="4"/>
    <x v="22"/>
    <x v="0"/>
    <x v="13"/>
    <x v="18"/>
    <x v="25"/>
    <x v="29"/>
    <x v="52"/>
    <x v="63"/>
    <s v="N/A"/>
    <s v="Very High"/>
    <x v="93"/>
    <n v="1800"/>
    <n v="0"/>
    <s v="This compares total activity values from peak diurnal activity in SPring samples at 12hrs (full light) versus 24hrs (dark); data points approximated using SplineCloud plot digitizer, from fig 1c"/>
    <s v="umol CO2 / min * mg protein"/>
    <s v="Radiolabelled CO2"/>
    <n v="10"/>
    <n v="0.75"/>
    <s v="Bicine"/>
    <n v="100"/>
    <n v="20"/>
    <n v="5"/>
    <n v="0"/>
    <n v="1"/>
    <n v="1"/>
    <n v="20"/>
    <n v="0"/>
    <n v="0"/>
    <n v="0"/>
    <n v="0"/>
    <n v="7.8"/>
    <n v="25"/>
    <s v="?"/>
    <s v="crude leaf"/>
  </r>
  <r>
    <s v="Holbrook 1992"/>
    <n v="1992"/>
    <x v="12"/>
    <x v="5"/>
    <x v="4"/>
    <x v="4"/>
    <x v="25"/>
    <x v="0"/>
    <x v="13"/>
    <x v="18"/>
    <x v="25"/>
    <x v="29"/>
    <x v="53"/>
    <x v="64"/>
    <s v="N/A"/>
    <s v="High"/>
    <x v="9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4"/>
    <x v="4"/>
    <x v="26"/>
    <x v="0"/>
    <x v="13"/>
    <x v="18"/>
    <x v="25"/>
    <x v="29"/>
    <x v="54"/>
    <x v="65"/>
    <s v="N/A"/>
    <s v="Moderate"/>
    <x v="9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4"/>
    <x v="4"/>
    <x v="26"/>
    <x v="0"/>
    <x v="13"/>
    <x v="18"/>
    <x v="25"/>
    <x v="29"/>
    <x v="54"/>
    <x v="66"/>
    <s v="N/A"/>
    <s v="Low"/>
    <x v="9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4"/>
    <x v="0"/>
    <x v="0"/>
    <x v="13"/>
    <x v="18"/>
    <x v="26"/>
    <x v="30"/>
    <x v="55"/>
    <x v="67"/>
    <s v="N/A"/>
    <s v="Moderate"/>
    <x v="9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4"/>
    <x v="0"/>
    <x v="0"/>
    <x v="13"/>
    <x v="18"/>
    <x v="26"/>
    <x v="30"/>
    <x v="55"/>
    <x v="67"/>
    <s v="N/A"/>
    <s v="High"/>
    <x v="9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4"/>
    <x v="23"/>
    <x v="0"/>
    <x v="13"/>
    <x v="18"/>
    <x v="26"/>
    <x v="30"/>
    <x v="56"/>
    <x v="68"/>
    <s v="N/A"/>
    <s v="Moderate"/>
    <x v="9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4"/>
    <x v="23"/>
    <x v="0"/>
    <x v="13"/>
    <x v="18"/>
    <x v="26"/>
    <x v="30"/>
    <x v="56"/>
    <x v="68"/>
    <s v="N/A"/>
    <s v="Moderate"/>
    <x v="10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5"/>
    <x v="6"/>
    <x v="0"/>
    <x v="13"/>
    <x v="18"/>
    <x v="26"/>
    <x v="31"/>
    <x v="57"/>
    <x v="69"/>
    <s v="N/A"/>
    <s v="High"/>
    <x v="10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5"/>
    <x v="6"/>
    <x v="0"/>
    <x v="13"/>
    <x v="18"/>
    <x v="26"/>
    <x v="31"/>
    <x v="57"/>
    <x v="70"/>
    <s v="N/A"/>
    <s v="High"/>
    <x v="10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5"/>
    <x v="3"/>
    <x v="0"/>
    <x v="13"/>
    <x v="18"/>
    <x v="26"/>
    <x v="31"/>
    <x v="58"/>
    <x v="71"/>
    <s v="N/A"/>
    <s v="High"/>
    <x v="10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5"/>
    <x v="27"/>
    <x v="0"/>
    <x v="13"/>
    <x v="18"/>
    <x v="26"/>
    <x v="31"/>
    <x v="59"/>
    <x v="72"/>
    <s v="N/A"/>
    <s v="High"/>
    <x v="10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5"/>
    <x v="28"/>
    <x v="0"/>
    <x v="13"/>
    <x v="18"/>
    <x v="26"/>
    <x v="31"/>
    <x v="60"/>
    <x v="73"/>
    <s v="N/A"/>
    <s v="Moderate"/>
    <x v="10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5"/>
    <x v="29"/>
    <x v="0"/>
    <x v="13"/>
    <x v="18"/>
    <x v="26"/>
    <x v="31"/>
    <x v="61"/>
    <x v="74"/>
    <s v="N/A"/>
    <s v="High"/>
    <x v="10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1"/>
    <x v="30"/>
    <x v="0"/>
    <x v="13"/>
    <x v="18"/>
    <x v="26"/>
    <x v="32"/>
    <x v="62"/>
    <x v="75"/>
    <s v="N/A"/>
    <s v="Moderate"/>
    <x v="10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1"/>
    <x v="30"/>
    <x v="0"/>
    <x v="13"/>
    <x v="18"/>
    <x v="26"/>
    <x v="32"/>
    <x v="62"/>
    <x v="76"/>
    <s v="N/A"/>
    <s v="Low"/>
    <x v="10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1"/>
    <x v="30"/>
    <x v="0"/>
    <x v="13"/>
    <x v="18"/>
    <x v="26"/>
    <x v="32"/>
    <x v="62"/>
    <x v="77"/>
    <s v="N/A"/>
    <s v="Moderate"/>
    <x v="10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2"/>
    <x v="0"/>
    <x v="0"/>
    <x v="13"/>
    <x v="18"/>
    <x v="26"/>
    <x v="33"/>
    <x v="63"/>
    <x v="78"/>
    <s v="N/A"/>
    <s v="Moderate"/>
    <x v="11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2"/>
    <x v="6"/>
    <x v="0"/>
    <x v="13"/>
    <x v="18"/>
    <x v="26"/>
    <x v="33"/>
    <x v="64"/>
    <x v="79"/>
    <s v="N/A"/>
    <s v="Low"/>
    <x v="11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2"/>
    <x v="6"/>
    <x v="0"/>
    <x v="13"/>
    <x v="18"/>
    <x v="26"/>
    <x v="33"/>
    <x v="64"/>
    <x v="79"/>
    <s v="N/A"/>
    <s v="High"/>
    <x v="11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3"/>
    <x v="1"/>
    <x v="13"/>
    <x v="18"/>
    <x v="26"/>
    <x v="34"/>
    <x v="65"/>
    <x v="80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3"/>
    <x v="1"/>
    <x v="13"/>
    <x v="18"/>
    <x v="26"/>
    <x v="34"/>
    <x v="65"/>
    <x v="80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3"/>
    <x v="2"/>
    <x v="13"/>
    <x v="18"/>
    <x v="26"/>
    <x v="34"/>
    <x v="65"/>
    <x v="81"/>
    <s v="N/A"/>
    <s v="Moderate"/>
    <x v="11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3"/>
    <x v="2"/>
    <x v="13"/>
    <x v="18"/>
    <x v="26"/>
    <x v="34"/>
    <x v="65"/>
    <x v="82"/>
    <s v="N/A"/>
    <s v="Low"/>
    <x v="11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rvaites et al. 1986"/>
    <n v="1986"/>
    <x v="12"/>
    <x v="5"/>
    <x v="6"/>
    <x v="16"/>
    <x v="3"/>
    <x v="2"/>
    <x v="13"/>
    <x v="18"/>
    <x v="26"/>
    <x v="34"/>
    <x v="65"/>
    <x v="83"/>
    <s v="N/A"/>
    <s v="Low"/>
    <x v="115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1992"/>
    <n v="1992"/>
    <x v="12"/>
    <x v="5"/>
    <x v="6"/>
    <x v="16"/>
    <x v="3"/>
    <x v="2"/>
    <x v="13"/>
    <x v="18"/>
    <x v="26"/>
    <x v="34"/>
    <x v="65"/>
    <x v="84"/>
    <s v="N/A"/>
    <s v="Moderate"/>
    <x v="9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3"/>
    <x v="2"/>
    <x v="13"/>
    <x v="18"/>
    <x v="26"/>
    <x v="34"/>
    <x v="65"/>
    <x v="84"/>
    <s v="Russell's perennial mixed lupins"/>
    <s v="Low"/>
    <x v="11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12"/>
    <x v="0"/>
    <x v="13"/>
    <x v="18"/>
    <x v="26"/>
    <x v="34"/>
    <x v="66"/>
    <x v="85"/>
    <s v="N/A"/>
    <s v="Moderate"/>
    <x v="11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12"/>
    <x v="0"/>
    <x v="13"/>
    <x v="18"/>
    <x v="26"/>
    <x v="34"/>
    <x v="66"/>
    <x v="85"/>
    <s v="N/A"/>
    <s v="High"/>
    <x v="11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6"/>
    <x v="31"/>
    <x v="0"/>
    <x v="13"/>
    <x v="18"/>
    <x v="26"/>
    <x v="34"/>
    <x v="67"/>
    <x v="86"/>
    <s v="N/A"/>
    <s v="Moderate"/>
    <x v="11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7"/>
    <x v="0"/>
    <x v="0"/>
    <x v="13"/>
    <x v="18"/>
    <x v="26"/>
    <x v="35"/>
    <x v="68"/>
    <x v="87"/>
    <s v="N/A"/>
    <s v="High"/>
    <x v="12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8"/>
    <x v="0"/>
    <x v="0"/>
    <x v="13"/>
    <x v="18"/>
    <x v="26"/>
    <x v="36"/>
    <x v="69"/>
    <x v="88"/>
    <s v="N/A"/>
    <s v="Moderate"/>
    <x v="1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9"/>
    <x v="24"/>
    <x v="0"/>
    <x v="13"/>
    <x v="18"/>
    <x v="26"/>
    <x v="37"/>
    <x v="70"/>
    <x v="89"/>
    <s v="N/A"/>
    <s v="Moderate"/>
    <x v="12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9"/>
    <x v="24"/>
    <x v="0"/>
    <x v="13"/>
    <x v="18"/>
    <x v="26"/>
    <x v="37"/>
    <x v="71"/>
    <x v="90"/>
    <s v="N/A"/>
    <s v="High"/>
    <x v="12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9"/>
    <x v="23"/>
    <x v="0"/>
    <x v="13"/>
    <x v="18"/>
    <x v="26"/>
    <x v="37"/>
    <x v="72"/>
    <x v="91"/>
    <s v="N/A"/>
    <s v="Moderate"/>
    <x v="12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9"/>
    <x v="23"/>
    <x v="0"/>
    <x v="13"/>
    <x v="18"/>
    <x v="26"/>
    <x v="37"/>
    <x v="72"/>
    <x v="92"/>
    <s v="N/A"/>
    <s v="High"/>
    <x v="12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9"/>
    <x v="14"/>
    <x v="0"/>
    <x v="13"/>
    <x v="18"/>
    <x v="26"/>
    <x v="37"/>
    <x v="73"/>
    <x v="93"/>
    <s v="N/A"/>
    <s v="Moderate"/>
    <x v="12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19"/>
    <x v="14"/>
    <x v="0"/>
    <x v="13"/>
    <x v="18"/>
    <x v="26"/>
    <x v="37"/>
    <x v="73"/>
    <x v="94"/>
    <s v="N/A"/>
    <s v="Moderate"/>
    <x v="9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0"/>
    <x v="0"/>
    <x v="0"/>
    <x v="13"/>
    <x v="18"/>
    <x v="26"/>
    <x v="38"/>
    <x v="74"/>
    <x v="95"/>
    <s v="N/A"/>
    <s v="High"/>
    <x v="12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0"/>
    <x v="0"/>
    <x v="0"/>
    <x v="13"/>
    <x v="18"/>
    <x v="26"/>
    <x v="38"/>
    <x v="74"/>
    <x v="96"/>
    <s v="N/A"/>
    <s v="Low"/>
    <x v="12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1"/>
    <x v="0"/>
    <x v="0"/>
    <x v="13"/>
    <x v="18"/>
    <x v="26"/>
    <x v="39"/>
    <x v="75"/>
    <x v="97"/>
    <s v="Garbanzo bean"/>
    <s v="Low"/>
    <x v="12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1"/>
    <x v="0"/>
    <x v="0"/>
    <x v="13"/>
    <x v="18"/>
    <x v="26"/>
    <x v="39"/>
    <x v="75"/>
    <x v="97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1"/>
    <x v="0"/>
    <x v="0"/>
    <x v="13"/>
    <x v="18"/>
    <x v="26"/>
    <x v="39"/>
    <x v="75"/>
    <x v="97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2"/>
    <x v="0"/>
    <x v="0"/>
    <x v="13"/>
    <x v="18"/>
    <x v="26"/>
    <x v="40"/>
    <x v="76"/>
    <x v="98"/>
    <s v="N/A"/>
    <s v="High"/>
    <x v="13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0"/>
    <x v="0"/>
    <x v="13"/>
    <x v="18"/>
    <x v="26"/>
    <x v="41"/>
    <x v="77"/>
    <x v="99"/>
    <s v="N/A"/>
    <s v="Low"/>
    <x v="13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0"/>
    <x v="1"/>
    <x v="13"/>
    <x v="18"/>
    <x v="26"/>
    <x v="41"/>
    <x v="77"/>
    <x v="100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0"/>
    <x v="2"/>
    <x v="13"/>
    <x v="18"/>
    <x v="26"/>
    <x v="41"/>
    <x v="77"/>
    <x v="101"/>
    <s v="N/A"/>
    <s v="Low"/>
    <x v="13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emann et al. 1985"/>
    <n v="1985"/>
    <x v="12"/>
    <x v="5"/>
    <x v="6"/>
    <x v="23"/>
    <x v="0"/>
    <x v="3"/>
    <x v="13"/>
    <x v="18"/>
    <x v="26"/>
    <x v="41"/>
    <x v="77"/>
    <x v="102"/>
    <s v="N/A"/>
    <s v="Low"/>
    <x v="21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12"/>
    <x v="5"/>
    <x v="6"/>
    <x v="23"/>
    <x v="0"/>
    <x v="3"/>
    <x v="13"/>
    <x v="18"/>
    <x v="26"/>
    <x v="41"/>
    <x v="77"/>
    <x v="102"/>
    <s v="N/A"/>
    <s v="Moderate"/>
    <x v="81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1992"/>
    <n v="1992"/>
    <x v="12"/>
    <x v="5"/>
    <x v="6"/>
    <x v="23"/>
    <x v="0"/>
    <x v="3"/>
    <x v="13"/>
    <x v="18"/>
    <x v="26"/>
    <x v="41"/>
    <x v="77"/>
    <x v="102"/>
    <s v="Long Pod"/>
    <s v="Low"/>
    <x v="13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0"/>
    <x v="3"/>
    <x v="13"/>
    <x v="18"/>
    <x v="26"/>
    <x v="41"/>
    <x v="77"/>
    <x v="102"/>
    <s v="Mammoth"/>
    <s v="Low"/>
    <x v="13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0"/>
    <x v="4"/>
    <x v="13"/>
    <x v="18"/>
    <x v="26"/>
    <x v="41"/>
    <x v="77"/>
    <x v="103"/>
    <s v="N/A"/>
    <s v="Low"/>
    <x v="4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emann et al. 1985"/>
    <n v="1985"/>
    <x v="12"/>
    <x v="5"/>
    <x v="6"/>
    <x v="23"/>
    <x v="6"/>
    <x v="0"/>
    <x v="13"/>
    <x v="18"/>
    <x v="26"/>
    <x v="41"/>
    <x v="78"/>
    <x v="104"/>
    <s v="N/A"/>
    <s v="Low"/>
    <x v="21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Holbrook 1992"/>
    <n v="1992"/>
    <x v="12"/>
    <x v="5"/>
    <x v="6"/>
    <x v="23"/>
    <x v="6"/>
    <x v="0"/>
    <x v="13"/>
    <x v="18"/>
    <x v="26"/>
    <x v="41"/>
    <x v="78"/>
    <x v="104"/>
    <s v="Green lentil"/>
    <s v="Low"/>
    <x v="13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6"/>
    <x v="0"/>
    <x v="13"/>
    <x v="18"/>
    <x v="26"/>
    <x v="41"/>
    <x v="78"/>
    <x v="104"/>
    <s v="Lentil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6"/>
    <x v="0"/>
    <x v="13"/>
    <x v="18"/>
    <x v="26"/>
    <x v="41"/>
    <x v="78"/>
    <x v="104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6"/>
    <x v="0"/>
    <x v="13"/>
    <x v="18"/>
    <x v="26"/>
    <x v="41"/>
    <x v="78"/>
    <x v="104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emann et al. 1985"/>
    <n v="1985"/>
    <x v="12"/>
    <x v="5"/>
    <x v="6"/>
    <x v="23"/>
    <x v="23"/>
    <x v="0"/>
    <x v="13"/>
    <x v="18"/>
    <x v="26"/>
    <x v="41"/>
    <x v="79"/>
    <x v="105"/>
    <s v="N/A"/>
    <s v="Low"/>
    <x v="21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Holbrook 1992"/>
    <n v="1992"/>
    <x v="12"/>
    <x v="5"/>
    <x v="6"/>
    <x v="23"/>
    <x v="23"/>
    <x v="0"/>
    <x v="13"/>
    <x v="18"/>
    <x v="26"/>
    <x v="41"/>
    <x v="79"/>
    <x v="106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23"/>
    <x v="0"/>
    <x v="13"/>
    <x v="18"/>
    <x v="26"/>
    <x v="41"/>
    <x v="79"/>
    <x v="106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23"/>
    <x v="0"/>
    <x v="13"/>
    <x v="18"/>
    <x v="26"/>
    <x v="41"/>
    <x v="79"/>
    <x v="106"/>
    <s v="Sweet pea, royal family mix"/>
    <s v="Low"/>
    <x v="12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1"/>
    <x v="13"/>
    <x v="18"/>
    <x v="26"/>
    <x v="41"/>
    <x v="80"/>
    <x v="107"/>
    <n v="708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2"/>
    <x v="13"/>
    <x v="18"/>
    <x v="26"/>
    <x v="41"/>
    <x v="80"/>
    <x v="108"/>
    <n v="721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2"/>
    <x v="13"/>
    <x v="18"/>
    <x v="26"/>
    <x v="41"/>
    <x v="80"/>
    <x v="108"/>
    <n v="723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Jomardii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emann et al. 1985"/>
    <n v="1985"/>
    <x v="12"/>
    <x v="5"/>
    <x v="6"/>
    <x v="23"/>
    <x v="12"/>
    <x v="3"/>
    <x v="13"/>
    <x v="18"/>
    <x v="26"/>
    <x v="41"/>
    <x v="80"/>
    <x v="109"/>
    <s v="N/A"/>
    <s v="Low"/>
    <x v="136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12"/>
    <x v="5"/>
    <x v="6"/>
    <x v="23"/>
    <x v="12"/>
    <x v="3"/>
    <x v="13"/>
    <x v="18"/>
    <x v="26"/>
    <x v="41"/>
    <x v="80"/>
    <x v="109"/>
    <s v="N/A"/>
    <s v="Low"/>
    <x v="137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n v="5237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n v="5951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A1078-234"/>
    <s v="Low"/>
    <x v="13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A73-91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A83-22 (Slow)"/>
    <s v="Moderate"/>
    <x v="13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Abyssinicum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Alask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J1 1794"/>
    <s v="Low"/>
    <x v="7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Melting sugar pea"/>
    <s v="Low"/>
    <x v="7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PI 179449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Progress No.9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3"/>
    <x v="12"/>
    <x v="3"/>
    <x v="13"/>
    <x v="18"/>
    <x v="26"/>
    <x v="41"/>
    <x v="80"/>
    <x v="109"/>
    <s v="Syriacum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0"/>
    <x v="0"/>
    <x v="13"/>
    <x v="18"/>
    <x v="26"/>
    <x v="42"/>
    <x v="81"/>
    <x v="110"/>
    <s v="N/A"/>
    <s v="Moderate"/>
    <x v="14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0"/>
    <x v="0"/>
    <x v="13"/>
    <x v="18"/>
    <x v="26"/>
    <x v="42"/>
    <x v="81"/>
    <x v="111"/>
    <s v="N/A"/>
    <s v="Moderate"/>
    <x v="14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6"/>
    <x v="1"/>
    <x v="13"/>
    <x v="18"/>
    <x v="26"/>
    <x v="42"/>
    <x v="82"/>
    <x v="112"/>
    <s v="N/A"/>
    <s v="Low"/>
    <x v="14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6"/>
    <x v="1"/>
    <x v="13"/>
    <x v="18"/>
    <x v="26"/>
    <x v="42"/>
    <x v="82"/>
    <x v="112"/>
    <s v="N/A"/>
    <s v="Moderate"/>
    <x v="14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rvaites et al. 1986"/>
    <n v="1986"/>
    <x v="12"/>
    <x v="5"/>
    <x v="6"/>
    <x v="24"/>
    <x v="6"/>
    <x v="2"/>
    <x v="13"/>
    <x v="18"/>
    <x v="26"/>
    <x v="42"/>
    <x v="82"/>
    <x v="113"/>
    <s v="N/A"/>
    <s v="Moderate"/>
    <x v="82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1992"/>
    <n v="1992"/>
    <x v="12"/>
    <x v="5"/>
    <x v="6"/>
    <x v="24"/>
    <x v="6"/>
    <x v="2"/>
    <x v="13"/>
    <x v="18"/>
    <x v="26"/>
    <x v="42"/>
    <x v="82"/>
    <x v="113"/>
    <s v="N/A"/>
    <s v="Moderate"/>
    <x v="14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rvaites et al. 1986"/>
    <n v="1986"/>
    <x v="12"/>
    <x v="5"/>
    <x v="6"/>
    <x v="24"/>
    <x v="6"/>
    <x v="3"/>
    <x v="13"/>
    <x v="18"/>
    <x v="26"/>
    <x v="42"/>
    <x v="82"/>
    <x v="114"/>
    <s v="N/A"/>
    <s v="High"/>
    <x v="16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1992"/>
    <n v="1992"/>
    <x v="12"/>
    <x v="5"/>
    <x v="6"/>
    <x v="24"/>
    <x v="6"/>
    <x v="3"/>
    <x v="13"/>
    <x v="18"/>
    <x v="26"/>
    <x v="42"/>
    <x v="82"/>
    <x v="114"/>
    <s v="N/A"/>
    <s v="High"/>
    <x v="14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23"/>
    <x v="0"/>
    <x v="13"/>
    <x v="18"/>
    <x v="26"/>
    <x v="42"/>
    <x v="83"/>
    <x v="115"/>
    <s v="N/A"/>
    <s v="Moderate"/>
    <x v="14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23"/>
    <x v="0"/>
    <x v="13"/>
    <x v="18"/>
    <x v="26"/>
    <x v="42"/>
    <x v="83"/>
    <x v="115"/>
    <s v="N/A"/>
    <s v="Moderate"/>
    <x v="14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3"/>
    <x v="0"/>
    <x v="13"/>
    <x v="18"/>
    <x v="26"/>
    <x v="42"/>
    <x v="84"/>
    <x v="116"/>
    <s v="N/A"/>
    <s v="Moderate"/>
    <x v="14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3"/>
    <x v="0"/>
    <x v="13"/>
    <x v="18"/>
    <x v="26"/>
    <x v="42"/>
    <x v="84"/>
    <x v="117"/>
    <s v="N/A"/>
    <s v="High"/>
    <x v="14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12"/>
    <x v="0"/>
    <x v="13"/>
    <x v="18"/>
    <x v="26"/>
    <x v="42"/>
    <x v="85"/>
    <x v="118"/>
    <s v="N/A"/>
    <s v="Moderate"/>
    <x v="15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4"/>
    <x v="12"/>
    <x v="0"/>
    <x v="13"/>
    <x v="18"/>
    <x v="26"/>
    <x v="42"/>
    <x v="85"/>
    <x v="118"/>
    <s v="N/A"/>
    <s v="Moderate"/>
    <x v="15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5"/>
    <x v="12"/>
    <x v="0"/>
    <x v="13"/>
    <x v="18"/>
    <x v="26"/>
    <x v="43"/>
    <x v="86"/>
    <x v="119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5"/>
    <x v="12"/>
    <x v="0"/>
    <x v="13"/>
    <x v="18"/>
    <x v="26"/>
    <x v="43"/>
    <x v="86"/>
    <x v="120"/>
    <s v="N/A"/>
    <s v="Low"/>
    <x v="15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5"/>
    <x v="4"/>
    <x v="0"/>
    <x v="13"/>
    <x v="18"/>
    <x v="26"/>
    <x v="43"/>
    <x v="87"/>
    <x v="121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5"/>
    <x v="4"/>
    <x v="0"/>
    <x v="13"/>
    <x v="18"/>
    <x v="26"/>
    <x v="43"/>
    <x v="87"/>
    <x v="121"/>
    <s v="N/A"/>
    <s v="Low"/>
    <x v="2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6"/>
    <x v="0"/>
    <x v="0"/>
    <x v="13"/>
    <x v="18"/>
    <x v="26"/>
    <x v="44"/>
    <x v="88"/>
    <x v="122"/>
    <s v="N/A"/>
    <s v="Low"/>
    <x v="11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6"/>
    <x v="0"/>
    <x v="0"/>
    <x v="13"/>
    <x v="18"/>
    <x v="26"/>
    <x v="44"/>
    <x v="88"/>
    <x v="123"/>
    <s v="N/A"/>
    <s v="Moderate"/>
    <x v="15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6"/>
    <x v="23"/>
    <x v="0"/>
    <x v="13"/>
    <x v="18"/>
    <x v="26"/>
    <x v="44"/>
    <x v="89"/>
    <x v="124"/>
    <s v="N/A"/>
    <s v="Moderate"/>
    <x v="15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6"/>
    <x v="23"/>
    <x v="0"/>
    <x v="13"/>
    <x v="18"/>
    <x v="26"/>
    <x v="44"/>
    <x v="89"/>
    <x v="124"/>
    <s v="N/A"/>
    <s v="Very High"/>
    <x v="15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7"/>
    <x v="0"/>
    <x v="0"/>
    <x v="13"/>
    <x v="18"/>
    <x v="26"/>
    <x v="45"/>
    <x v="90"/>
    <x v="125"/>
    <s v="N/A"/>
    <s v="Moderate"/>
    <x v="15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7"/>
    <x v="6"/>
    <x v="0"/>
    <x v="13"/>
    <x v="18"/>
    <x v="26"/>
    <x v="45"/>
    <x v="91"/>
    <x v="126"/>
    <s v="N/A"/>
    <s v="Moderate"/>
    <x v="15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8"/>
    <x v="0"/>
    <x v="0"/>
    <x v="13"/>
    <x v="18"/>
    <x v="26"/>
    <x v="46"/>
    <x v="92"/>
    <x v="127"/>
    <s v="N/A"/>
    <s v="High"/>
    <x v="15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9"/>
    <x v="4"/>
    <x v="0"/>
    <x v="13"/>
    <x v="18"/>
    <x v="26"/>
    <x v="47"/>
    <x v="93"/>
    <x v="128"/>
    <s v="N/A"/>
    <s v="Moderate"/>
    <x v="159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29"/>
    <x v="4"/>
    <x v="0"/>
    <x v="13"/>
    <x v="18"/>
    <x v="26"/>
    <x v="47"/>
    <x v="93"/>
    <x v="129"/>
    <s v="N/A"/>
    <s v="High"/>
    <x v="160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0"/>
    <x v="6"/>
    <x v="0"/>
    <x v="13"/>
    <x v="18"/>
    <x v="26"/>
    <x v="48"/>
    <x v="94"/>
    <x v="130"/>
    <s v="N/A"/>
    <s v="High"/>
    <x v="16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0"/>
    <x v="6"/>
    <x v="0"/>
    <x v="13"/>
    <x v="18"/>
    <x v="26"/>
    <x v="48"/>
    <x v="94"/>
    <x v="131"/>
    <s v="N/A"/>
    <s v="Moderate"/>
    <x v="2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0"/>
    <x v="27"/>
    <x v="0"/>
    <x v="13"/>
    <x v="18"/>
    <x v="26"/>
    <x v="48"/>
    <x v="95"/>
    <x v="132"/>
    <s v="N/A"/>
    <s v="High"/>
    <x v="16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age and Seemann 1993"/>
    <n v="1993"/>
    <x v="12"/>
    <x v="5"/>
    <x v="6"/>
    <x v="31"/>
    <x v="32"/>
    <x v="0"/>
    <x v="13"/>
    <x v="18"/>
    <x v="26"/>
    <x v="49"/>
    <x v="96"/>
    <x v="133"/>
    <s v="kudzu"/>
    <s v="Moderate"/>
    <x v="163"/>
    <s v="&gt;1200"/>
    <s v="60-100"/>
    <s v="This compares total activity values from high and low light, from table II"/>
    <s v="mol CO2 / mol Rubisco * s"/>
    <s v="Radiolabelled CO2"/>
    <n v="10"/>
    <n v="0.5"/>
    <s v="Bicine"/>
    <n v="100"/>
    <n v="28"/>
    <n v="1"/>
    <n v="0"/>
    <n v="1"/>
    <s v="?"/>
    <n v="20"/>
    <n v="0"/>
    <n v="2"/>
    <n v="0"/>
    <n v="0"/>
    <n v="8"/>
    <n v="25"/>
    <s v="0.3 unit /mL Ru5P kinase, 1unit / mL phosphoribuloisomerase, 1.6mM ru5P"/>
    <s v="crude leaf"/>
  </r>
  <r>
    <s v="Vu et al. 1983"/>
    <n v="1983"/>
    <x v="12"/>
    <x v="5"/>
    <x v="6"/>
    <x v="31"/>
    <x v="33"/>
    <x v="0"/>
    <x v="13"/>
    <x v="18"/>
    <x v="26"/>
    <x v="49"/>
    <x v="97"/>
    <x v="134"/>
    <s v="Bragg"/>
    <s v="Moderate"/>
    <x v="164"/>
    <n v="600"/>
    <n v="0"/>
    <s v="This compares total activity values from light and dark; data points approximated using SplineCloud plot digitizer, from figures 1 and 2B"/>
    <s v="umol CO2 / mg chl * hr"/>
    <s v="Radiolabelled CO2"/>
    <n v="10"/>
    <n v="0.75"/>
    <s v="Tris HCl"/>
    <n v="50"/>
    <n v="10"/>
    <n v="5"/>
    <n v="0"/>
    <n v="0.1"/>
    <n v="0.5"/>
    <n v="20"/>
    <n v="0"/>
    <n v="0"/>
    <n v="0"/>
    <n v="0"/>
    <n v="8.5"/>
    <n v="30"/>
    <s v="?"/>
    <s v="crude leaf"/>
  </r>
  <r>
    <s v="Vu et al. 1983"/>
    <n v="1983"/>
    <x v="12"/>
    <x v="5"/>
    <x v="6"/>
    <x v="31"/>
    <x v="33"/>
    <x v="0"/>
    <x v="13"/>
    <x v="18"/>
    <x v="26"/>
    <x v="49"/>
    <x v="97"/>
    <x v="134"/>
    <s v="Bragg"/>
    <s v="High"/>
    <x v="165"/>
    <n v="800"/>
    <n v="0"/>
    <s v="This compares total activity values from light and dark; data points approximated using SplineCloud plot digitizer, from figures 1 and 2B"/>
    <s v="umol CO2 / mg chl * hr"/>
    <s v="Radiolabelled CO2"/>
    <n v="10"/>
    <n v="0.75"/>
    <s v="Tris HCl 50"/>
    <n v="50"/>
    <n v="10"/>
    <n v="5"/>
    <n v="0"/>
    <n v="0.1"/>
    <n v="0.5"/>
    <n v="20"/>
    <n v="0"/>
    <n v="0"/>
    <n v="0"/>
    <n v="0"/>
    <n v="8.5"/>
    <n v="30"/>
    <s v="?"/>
    <s v="crude leaf"/>
  </r>
  <r>
    <s v="Servaites et al. 1984"/>
    <n v="1984"/>
    <x v="12"/>
    <x v="5"/>
    <x v="6"/>
    <x v="31"/>
    <x v="33"/>
    <x v="0"/>
    <x v="13"/>
    <x v="18"/>
    <x v="26"/>
    <x v="49"/>
    <x v="97"/>
    <x v="134"/>
    <s v="Will"/>
    <s v="High"/>
    <x v="166"/>
    <n v="1600"/>
    <n v="0"/>
    <s v="This compares total activity values from midday and predawn; data points approximated using SplineCloud plot digitizer, from figure 2"/>
    <s v="umol CO2 / mg protein * min"/>
    <s v="Radiolabelled CO2"/>
    <n v="5"/>
    <n v="1"/>
    <s v="Tris-HCl 50"/>
    <n v="50"/>
    <n v="5"/>
    <n v="1"/>
    <m/>
    <n v="0"/>
    <n v="0.5"/>
    <n v="20"/>
    <n v="0"/>
    <n v="0"/>
    <n v="0"/>
    <n v="0"/>
    <n v="8"/>
    <n v="25"/>
    <s v="?"/>
    <s v="crude leaf"/>
  </r>
  <r>
    <s v="Vu et al. 1984"/>
    <n v="1984"/>
    <x v="12"/>
    <x v="5"/>
    <x v="6"/>
    <x v="31"/>
    <x v="33"/>
    <x v="0"/>
    <x v="13"/>
    <x v="18"/>
    <x v="26"/>
    <x v="49"/>
    <x v="97"/>
    <x v="134"/>
    <s v="Bragg"/>
    <s v="High"/>
    <x v="167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  <r>
    <s v="Seemann et al. 1985"/>
    <n v="1985"/>
    <x v="12"/>
    <x v="5"/>
    <x v="6"/>
    <x v="31"/>
    <x v="33"/>
    <x v="0"/>
    <x v="13"/>
    <x v="18"/>
    <x v="26"/>
    <x v="49"/>
    <x v="97"/>
    <x v="134"/>
    <s v="N/A"/>
    <s v="High"/>
    <x v="168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12"/>
    <x v="5"/>
    <x v="6"/>
    <x v="31"/>
    <x v="33"/>
    <x v="0"/>
    <x v="13"/>
    <x v="18"/>
    <x v="26"/>
    <x v="49"/>
    <x v="97"/>
    <x v="134"/>
    <s v="N/A"/>
    <s v="High"/>
    <x v="169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et al. 1987"/>
    <n v="1987"/>
    <x v="12"/>
    <x v="5"/>
    <x v="6"/>
    <x v="31"/>
    <x v="33"/>
    <x v="0"/>
    <x v="13"/>
    <x v="18"/>
    <x v="26"/>
    <x v="49"/>
    <x v="97"/>
    <x v="134"/>
    <s v="Bragg"/>
    <s v="High"/>
    <x v="160"/>
    <n v="690"/>
    <n v="15"/>
    <s v="This compares total activity values from light and dark. from results and discussion section"/>
    <s v="umol CO2 / mg chl * hr"/>
    <s v="Radiolabelled CO2"/>
    <n v="10"/>
    <n v="0.75"/>
    <s v="Tris-HCl 50"/>
    <n v="50"/>
    <n v="10"/>
    <n v="5"/>
    <n v="0"/>
    <n v="0.1"/>
    <n v="0.5"/>
    <n v="10"/>
    <n v="0"/>
    <n v="0"/>
    <n v="0"/>
    <n v="0"/>
    <n v="8"/>
    <n v="30"/>
    <s v="0.15% PVP-40, 1mM icoascorbic acid"/>
    <s v="crude leaf"/>
  </r>
  <r>
    <s v="Vu et al. 1987"/>
    <n v="1987"/>
    <x v="12"/>
    <x v="5"/>
    <x v="6"/>
    <x v="31"/>
    <x v="33"/>
    <x v="0"/>
    <x v="13"/>
    <x v="18"/>
    <x v="26"/>
    <x v="49"/>
    <x v="97"/>
    <x v="134"/>
    <s v="Bragg"/>
    <s v="High"/>
    <x v="47"/>
    <s v="Full Sun"/>
    <s v="Pre-dawn"/>
    <s v="This compares total activity values from predawn and midday samples; data points approximated using SplineCloud plot digitizer,  from figure 1b"/>
    <s v="umol CO2 /mg chl * hr"/>
    <s v="Radiolabelled CO2"/>
    <n v="5"/>
    <n v="0.75"/>
    <s v="Tris-HCl 50"/>
    <n v="50"/>
    <n v="10"/>
    <n v="5"/>
    <n v="0"/>
    <n v="0.1"/>
    <n v="0.5"/>
    <n v="5"/>
    <n v="0"/>
    <n v="0"/>
    <n v="0"/>
    <n v="0"/>
    <n v="8.5"/>
    <n v="30"/>
    <s v="?"/>
    <s v="Purified leaf rubisco"/>
  </r>
  <r>
    <s v="Seemann 1989"/>
    <n v="1989"/>
    <x v="12"/>
    <x v="5"/>
    <x v="6"/>
    <x v="31"/>
    <x v="33"/>
    <x v="0"/>
    <x v="13"/>
    <x v="18"/>
    <x v="26"/>
    <x v="49"/>
    <x v="97"/>
    <x v="134"/>
    <s v="Williams"/>
    <s v="Moderate"/>
    <x v="170"/>
    <n v="500"/>
    <s v="Full Dark"/>
    <s v="This compares total activity values from light and dark;  data points approximated using SplineCloud plot digitizer, from Figure 3B"/>
    <s v="mol CO2 / mol Rubisco * s"/>
    <s v="Radiolabelled CO2"/>
    <n v="10"/>
    <n v="0.5"/>
    <s v="Bicine"/>
    <n v="100"/>
    <n v="10"/>
    <n v="1"/>
    <n v="0"/>
    <n v="0.1"/>
    <n v="0.5"/>
    <n v="20"/>
    <n v="0"/>
    <n v="0"/>
    <n v="0"/>
    <n v="0"/>
    <n v="7.8"/>
    <n v="25"/>
    <s v="?"/>
    <s v="crude leaf"/>
  </r>
  <r>
    <s v="Bowes et al. 1990"/>
    <n v="1990"/>
    <x v="12"/>
    <x v="5"/>
    <x v="6"/>
    <x v="31"/>
    <x v="33"/>
    <x v="0"/>
    <x v="13"/>
    <x v="18"/>
    <x v="26"/>
    <x v="49"/>
    <x v="97"/>
    <x v="134"/>
    <s v="Bragg"/>
    <s v="Moderate"/>
    <x v="171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12"/>
    <x v="5"/>
    <x v="6"/>
    <x v="31"/>
    <x v="33"/>
    <x v="0"/>
    <x v="13"/>
    <x v="18"/>
    <x v="26"/>
    <x v="49"/>
    <x v="97"/>
    <x v="134"/>
    <s v="Cobb"/>
    <s v="Moderate"/>
    <x v="13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12"/>
    <x v="5"/>
    <x v="6"/>
    <x v="31"/>
    <x v="33"/>
    <x v="0"/>
    <x v="13"/>
    <x v="18"/>
    <x v="26"/>
    <x v="49"/>
    <x v="97"/>
    <x v="134"/>
    <s v="Davies"/>
    <s v="Moderate"/>
    <x v="172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12"/>
    <x v="5"/>
    <x v="6"/>
    <x v="31"/>
    <x v="33"/>
    <x v="0"/>
    <x v="13"/>
    <x v="18"/>
    <x v="26"/>
    <x v="49"/>
    <x v="97"/>
    <x v="134"/>
    <s v="Gordon"/>
    <s v="Moderate"/>
    <x v="22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Bowes et al. 1990"/>
    <n v="1990"/>
    <x v="12"/>
    <x v="5"/>
    <x v="6"/>
    <x v="31"/>
    <x v="33"/>
    <x v="0"/>
    <x v="13"/>
    <x v="18"/>
    <x v="26"/>
    <x v="49"/>
    <x v="97"/>
    <x v="134"/>
    <s v="Hardee"/>
    <s v="Moderate"/>
    <x v="46"/>
    <n v="500"/>
    <s v="Full Dark"/>
    <s v="This compares total activity values from light and dark; from table I; Paper finds variation in dark inhibition across growth stages"/>
    <s v="mol CO2 / mg protein * hr"/>
    <s v="Radiolabelled CO2"/>
    <n v="30"/>
    <n v="1"/>
    <s v="Bicine"/>
    <n v="100"/>
    <n v="25"/>
    <n v="1"/>
    <n v="0"/>
    <n v="0"/>
    <n v="0.6"/>
    <n v="10"/>
    <n v="0"/>
    <n v="0"/>
    <n v="0"/>
    <n v="0"/>
    <n v="8"/>
    <n v="25"/>
    <s v="0.1mM 6-phosphogluconate"/>
    <s v="crude leaf"/>
  </r>
  <r>
    <s v="Pearcy and Seemann 1990"/>
    <n v="1990"/>
    <x v="12"/>
    <x v="5"/>
    <x v="6"/>
    <x v="31"/>
    <x v="33"/>
    <x v="0"/>
    <x v="13"/>
    <x v="18"/>
    <x v="26"/>
    <x v="49"/>
    <x v="97"/>
    <x v="134"/>
    <s v="Williams"/>
    <s v="Low"/>
    <x v="173"/>
    <n v="1200"/>
    <n v="25"/>
    <s v="This compares total activity values from 20 minutes high light after low light (&lt;25umol/m2*s); from table I"/>
    <s v="mol CO2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Holbrook et al. 1994"/>
    <n v="1994"/>
    <x v="12"/>
    <x v="5"/>
    <x v="6"/>
    <x v="31"/>
    <x v="33"/>
    <x v="0"/>
    <x v="13"/>
    <x v="18"/>
    <x v="26"/>
    <x v="49"/>
    <x v="97"/>
    <x v="134"/>
    <s v="Bragg"/>
    <s v="High"/>
    <x v="174"/>
    <n v="550"/>
    <s v="Dark"/>
    <s v="This compares total activity values from light and dark; from table 1"/>
    <s v="umol CO2 / mg protein * hr "/>
    <s v="Radiolabelled CO2"/>
    <n v="5"/>
    <n v="1"/>
    <s v="Tris-HCl 50"/>
    <n v="50"/>
    <n v="5"/>
    <n v="5"/>
    <n v="0"/>
    <n v="0"/>
    <n v="1"/>
    <n v="20"/>
    <n v="0"/>
    <n v="0"/>
    <n v="0"/>
    <n v="0"/>
    <n v="8"/>
    <n v="25"/>
    <s v="10mM isoascorbic acid"/>
    <s v="crude leaf"/>
  </r>
  <r>
    <s v="Holbrook et al. 1994"/>
    <n v="1994"/>
    <x v="12"/>
    <x v="5"/>
    <x v="6"/>
    <x v="31"/>
    <x v="33"/>
    <x v="0"/>
    <x v="13"/>
    <x v="18"/>
    <x v="26"/>
    <x v="49"/>
    <x v="97"/>
    <x v="134"/>
    <s v="Cobb"/>
    <s v="Moderate"/>
    <x v="175"/>
    <n v="550"/>
    <s v="Dark"/>
    <s v="This compares total activity values from light and dark; from table 1"/>
    <s v="umol CO2 / mg protein * hr "/>
    <s v="Radiolabelled CO2"/>
    <n v="5"/>
    <n v="1"/>
    <s v="Tris-HCl 50"/>
    <n v="50"/>
    <n v="5"/>
    <n v="5"/>
    <n v="0"/>
    <n v="0"/>
    <n v="1"/>
    <n v="20"/>
    <n v="0"/>
    <n v="0"/>
    <n v="0"/>
    <n v="0"/>
    <n v="8"/>
    <n v="25"/>
    <s v="10mM isoascorbic acid"/>
    <s v="crude leaf"/>
  </r>
  <r>
    <s v="Holbrook et al. 1994"/>
    <n v="1994"/>
    <x v="12"/>
    <x v="5"/>
    <x v="6"/>
    <x v="31"/>
    <x v="33"/>
    <x v="0"/>
    <x v="13"/>
    <x v="18"/>
    <x v="26"/>
    <x v="49"/>
    <x v="97"/>
    <x v="134"/>
    <s v="Davis"/>
    <s v="Low"/>
    <x v="176"/>
    <n v="550"/>
    <s v="Dark"/>
    <s v="This compares total activity values from light and dark; from table 1"/>
    <s v="umol CO2 / mg protein * hr "/>
    <s v="Radiolabelled CO2"/>
    <n v="5"/>
    <n v="1"/>
    <s v="Tris-HCl 50"/>
    <n v="50"/>
    <n v="5"/>
    <n v="5"/>
    <n v="0"/>
    <n v="0"/>
    <n v="1"/>
    <n v="20"/>
    <n v="0"/>
    <n v="0"/>
    <n v="0"/>
    <n v="0"/>
    <n v="8"/>
    <n v="25"/>
    <s v="10mM isoascorbic acid"/>
    <s v="crude leaf"/>
  </r>
  <r>
    <s v="Holbrook et al. 1994"/>
    <n v="1994"/>
    <x v="12"/>
    <x v="5"/>
    <x v="6"/>
    <x v="31"/>
    <x v="33"/>
    <x v="0"/>
    <x v="13"/>
    <x v="18"/>
    <x v="26"/>
    <x v="49"/>
    <x v="97"/>
    <x v="134"/>
    <s v="Gordon"/>
    <s v="Moderate"/>
    <x v="177"/>
    <n v="550"/>
    <s v="Dark"/>
    <s v="This compares total activity values from light and dark; from table 1"/>
    <s v="umol CO2 / mg protein * hr "/>
    <s v="Radiolabelled CO2"/>
    <n v="5"/>
    <n v="1"/>
    <s v="Tris-HCl 50"/>
    <n v="50"/>
    <n v="5"/>
    <n v="5"/>
    <n v="0"/>
    <n v="0"/>
    <n v="1"/>
    <n v="20"/>
    <n v="0"/>
    <n v="0"/>
    <n v="0"/>
    <n v="0"/>
    <n v="8"/>
    <n v="25"/>
    <s v="10mM isoascorbic acid"/>
    <s v="crude leaf"/>
  </r>
  <r>
    <s v="Holbrook et al. 1994"/>
    <n v="1994"/>
    <x v="12"/>
    <x v="5"/>
    <x v="6"/>
    <x v="31"/>
    <x v="33"/>
    <x v="0"/>
    <x v="13"/>
    <x v="18"/>
    <x v="26"/>
    <x v="49"/>
    <x v="97"/>
    <x v="134"/>
    <s v="Hardee"/>
    <s v="Moderate"/>
    <x v="178"/>
    <n v="550"/>
    <s v="Dark"/>
    <s v="This compares total activity values from light and dark; from table 1"/>
    <s v="umol CO2 / mg protein * hr "/>
    <s v="Radiolabelled CO2"/>
    <n v="5"/>
    <n v="1"/>
    <s v="Tris-HCl 50"/>
    <n v="50"/>
    <n v="5"/>
    <n v="5"/>
    <n v="0"/>
    <n v="0"/>
    <n v="1"/>
    <n v="20"/>
    <n v="0"/>
    <n v="0"/>
    <n v="0"/>
    <n v="0"/>
    <n v="8"/>
    <n v="25"/>
    <s v="10mM isoascorbic acid"/>
    <s v="crude leaf"/>
  </r>
  <r>
    <s v="Holbrook et al. 1994"/>
    <n v="1994"/>
    <x v="12"/>
    <x v="5"/>
    <x v="6"/>
    <x v="31"/>
    <x v="33"/>
    <x v="0"/>
    <x v="13"/>
    <x v="18"/>
    <x v="26"/>
    <x v="49"/>
    <x v="97"/>
    <x v="134"/>
    <s v="Kirby"/>
    <s v="High"/>
    <x v="179"/>
    <n v="550"/>
    <s v="Dark"/>
    <s v="This compares total activity values from light and dark; from table 1"/>
    <s v="umol CO2 / mg protein * hr "/>
    <s v="Radiolabelled CO2"/>
    <n v="5"/>
    <n v="1"/>
    <s v="Tris-HCl 50"/>
    <n v="50"/>
    <n v="5"/>
    <n v="5"/>
    <n v="0"/>
    <n v="0"/>
    <n v="1"/>
    <n v="20"/>
    <n v="0"/>
    <n v="0"/>
    <n v="0"/>
    <n v="0"/>
    <n v="8"/>
    <n v="25"/>
    <s v="10mM isoascorbic acid"/>
    <s v="crude leaf"/>
  </r>
  <r>
    <s v="Vu et al. 1997"/>
    <n v="1997"/>
    <x v="12"/>
    <x v="5"/>
    <x v="6"/>
    <x v="31"/>
    <x v="33"/>
    <x v="0"/>
    <x v="13"/>
    <x v="18"/>
    <x v="26"/>
    <x v="49"/>
    <x v="97"/>
    <x v="134"/>
    <s v="Bragg"/>
    <s v="Moderate"/>
    <x v="180"/>
    <n v="1600"/>
    <n v="0"/>
    <s v="This compares total activity values from light and dark; from table 1 330umol Co2, and table 2 350umol CO2"/>
    <s v="umol CO2 / g leaf FW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"/>
    <n v="30"/>
    <s v="N/A"/>
    <s v="crude leaf"/>
  </r>
  <r>
    <s v="Heerden et al. 2003"/>
    <n v="2003"/>
    <x v="12"/>
    <x v="5"/>
    <x v="6"/>
    <x v="31"/>
    <x v="33"/>
    <x v="0"/>
    <x v="13"/>
    <x v="18"/>
    <x v="26"/>
    <x v="49"/>
    <x v="97"/>
    <x v="134"/>
    <s v="Fiskeby V"/>
    <s v="Moderate"/>
    <x v="181"/>
    <n v="350"/>
    <n v="0"/>
    <s v="This compares total activity values from night and day leaf samples; data points approximated using SplineCloud plot digitizer, from Fig 5a"/>
    <s v="umol CO2 / min * mg protein"/>
    <s v="Radiolabelled CO2"/>
    <n v="3"/>
    <n v="1"/>
    <s v="Bicine"/>
    <n v="100"/>
    <n v="20"/>
    <n v="0"/>
    <n v="0.25"/>
    <n v="0"/>
    <n v="0.4"/>
    <n v="10"/>
    <n v="0"/>
    <n v="0"/>
    <n v="0"/>
    <n v="0"/>
    <n v="8.1999999999999993"/>
    <s v="?"/>
    <s v="0.025mM PMSF, &lt;0.15mg PVPP"/>
    <s v="crude leaf"/>
  </r>
  <r>
    <s v="Heerden et al. 2003"/>
    <n v="2003"/>
    <x v="12"/>
    <x v="5"/>
    <x v="6"/>
    <x v="31"/>
    <x v="33"/>
    <x v="0"/>
    <x v="13"/>
    <x v="18"/>
    <x v="26"/>
    <x v="49"/>
    <x v="97"/>
    <x v="134"/>
    <s v="Maple Arrow"/>
    <s v="Moderate"/>
    <x v="182"/>
    <n v="350"/>
    <n v="0"/>
    <s v="This compares total activity values from night and day leaf samples; data points approximated using SplineCloud plot digitizer, from Fig 5a"/>
    <s v="umol CO2 / min * mg protein"/>
    <s v="Radiolabelled CO2"/>
    <n v="3"/>
    <n v="1"/>
    <s v="Bicine"/>
    <n v="100"/>
    <n v="20"/>
    <n v="0"/>
    <n v="0.25"/>
    <n v="0"/>
    <n v="0.4"/>
    <n v="10"/>
    <n v="0"/>
    <n v="0"/>
    <n v="0"/>
    <n v="0"/>
    <n v="8.1999999999999993"/>
    <s v="?"/>
    <s v="0.025mM PMSF, &lt;0.15mg PVPP"/>
    <s v="crude leaf"/>
  </r>
  <r>
    <s v="Servaites et al. 1986"/>
    <n v="1986"/>
    <x v="12"/>
    <x v="5"/>
    <x v="6"/>
    <x v="31"/>
    <x v="34"/>
    <x v="1"/>
    <x v="13"/>
    <x v="18"/>
    <x v="26"/>
    <x v="49"/>
    <x v="98"/>
    <x v="135"/>
    <s v="N/A"/>
    <s v="High"/>
    <x v="47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Holbrook 1992"/>
    <n v="1992"/>
    <x v="12"/>
    <x v="5"/>
    <x v="6"/>
    <x v="31"/>
    <x v="34"/>
    <x v="1"/>
    <x v="13"/>
    <x v="18"/>
    <x v="26"/>
    <x v="49"/>
    <x v="98"/>
    <x v="135"/>
    <s v="Blackeye cowpea"/>
    <s v="High"/>
    <x v="18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4"/>
    <x v="1"/>
    <x v="13"/>
    <x v="18"/>
    <x v="26"/>
    <x v="49"/>
    <x v="98"/>
    <x v="135"/>
    <s v="Cowpea"/>
    <s v="High"/>
    <x v="18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4"/>
    <x v="1"/>
    <x v="13"/>
    <x v="18"/>
    <x v="26"/>
    <x v="49"/>
    <x v="98"/>
    <x v="135"/>
    <s v="N/A"/>
    <s v="Moderate"/>
    <x v="18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4"/>
    <x v="2"/>
    <x v="13"/>
    <x v="18"/>
    <x v="26"/>
    <x v="49"/>
    <x v="98"/>
    <x v="136"/>
    <s v="N/A"/>
    <s v="High"/>
    <x v="4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eemann et al. 1985"/>
    <n v="1985"/>
    <x v="12"/>
    <x v="5"/>
    <x v="6"/>
    <x v="31"/>
    <x v="34"/>
    <x v="3"/>
    <x v="13"/>
    <x v="18"/>
    <x v="26"/>
    <x v="49"/>
    <x v="98"/>
    <x v="137"/>
    <s v="N/A"/>
    <s v="Very High"/>
    <x v="186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Holbrook 1992"/>
    <n v="1992"/>
    <x v="12"/>
    <x v="5"/>
    <x v="6"/>
    <x v="31"/>
    <x v="34"/>
    <x v="3"/>
    <x v="13"/>
    <x v="18"/>
    <x v="26"/>
    <x v="49"/>
    <x v="98"/>
    <x v="137"/>
    <s v="N/A"/>
    <s v="Moderate"/>
    <x v="187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4"/>
    <x v="4"/>
    <x v="13"/>
    <x v="18"/>
    <x v="26"/>
    <x v="49"/>
    <x v="98"/>
    <x v="138"/>
    <s v="N/A"/>
    <s v="High"/>
    <x v="188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age 1993"/>
    <n v="1993"/>
    <x v="12"/>
    <x v="5"/>
    <x v="6"/>
    <x v="31"/>
    <x v="35"/>
    <x v="1"/>
    <x v="13"/>
    <x v="18"/>
    <x v="26"/>
    <x v="49"/>
    <x v="99"/>
    <x v="139"/>
    <s v="PI# 535358"/>
    <s v="Very High"/>
    <x v="189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2"/>
    <x v="13"/>
    <x v="18"/>
    <x v="26"/>
    <x v="49"/>
    <x v="99"/>
    <x v="140"/>
    <s v="PI# 535311"/>
    <s v="High"/>
    <x v="158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3"/>
    <x v="13"/>
    <x v="18"/>
    <x v="26"/>
    <x v="49"/>
    <x v="99"/>
    <x v="141"/>
    <s v="PI# 535312"/>
    <s v="High"/>
    <x v="47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4"/>
    <x v="13"/>
    <x v="18"/>
    <x v="26"/>
    <x v="49"/>
    <x v="99"/>
    <x v="142"/>
    <s v="PI# 535452"/>
    <s v="High"/>
    <x v="190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5"/>
    <x v="13"/>
    <x v="18"/>
    <x v="26"/>
    <x v="49"/>
    <x v="99"/>
    <x v="143"/>
    <s v="PI# 535273"/>
    <s v="High"/>
    <x v="94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6"/>
    <x v="13"/>
    <x v="18"/>
    <x v="26"/>
    <x v="49"/>
    <x v="99"/>
    <x v="144"/>
    <s v="PI# 535300"/>
    <s v="Very High"/>
    <x v="191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7"/>
    <x v="13"/>
    <x v="18"/>
    <x v="26"/>
    <x v="49"/>
    <x v="99"/>
    <x v="145"/>
    <s v="PI# 535333"/>
    <s v="Very High"/>
    <x v="192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8"/>
    <x v="13"/>
    <x v="18"/>
    <x v="26"/>
    <x v="49"/>
    <x v="99"/>
    <x v="146"/>
    <s v="PI# 535350"/>
    <s v="Moderate"/>
    <x v="46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eemann et al. 1985"/>
    <n v="1985"/>
    <x v="12"/>
    <x v="5"/>
    <x v="6"/>
    <x v="31"/>
    <x v="35"/>
    <x v="9"/>
    <x v="13"/>
    <x v="18"/>
    <x v="26"/>
    <x v="49"/>
    <x v="99"/>
    <x v="147"/>
    <s v="N/A"/>
    <s v="High"/>
    <x v="168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Holbrook 1992"/>
    <n v="1992"/>
    <x v="12"/>
    <x v="5"/>
    <x v="6"/>
    <x v="31"/>
    <x v="35"/>
    <x v="9"/>
    <x v="13"/>
    <x v="18"/>
    <x v="26"/>
    <x v="49"/>
    <x v="99"/>
    <x v="147"/>
    <s v="N/A"/>
    <s v="Moderate"/>
    <x v="19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age 1993"/>
    <n v="1993"/>
    <x v="12"/>
    <x v="5"/>
    <x v="6"/>
    <x v="31"/>
    <x v="35"/>
    <x v="9"/>
    <x v="13"/>
    <x v="18"/>
    <x v="26"/>
    <x v="49"/>
    <x v="99"/>
    <x v="147"/>
    <s v="Chilipuca negra"/>
    <s v="High"/>
    <x v="194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9"/>
    <x v="13"/>
    <x v="18"/>
    <x v="26"/>
    <x v="49"/>
    <x v="99"/>
    <x v="147"/>
    <s v="Chilipuca zarda"/>
    <s v="High"/>
    <x v="195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9"/>
    <x v="13"/>
    <x v="18"/>
    <x v="26"/>
    <x v="49"/>
    <x v="99"/>
    <x v="147"/>
    <s v="Henderson's Bush Lima"/>
    <s v="High"/>
    <x v="196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9"/>
    <x v="13"/>
    <x v="18"/>
    <x v="26"/>
    <x v="49"/>
    <x v="99"/>
    <x v="147"/>
    <s v="PI# 200913"/>
    <s v="High"/>
    <x v="106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harkey et al. 1986"/>
    <n v="1986"/>
    <x v="12"/>
    <x v="5"/>
    <x v="6"/>
    <x v="31"/>
    <x v="35"/>
    <x v="10"/>
    <x v="13"/>
    <x v="18"/>
    <x v="26"/>
    <x v="49"/>
    <x v="99"/>
    <x v="148"/>
    <s v="Tendergreen"/>
    <s v="Very High"/>
    <x v="197"/>
    <n v="1000"/>
    <n v="0"/>
    <s v="This compares inhibitor free sites, based on total activity from Table IV"/>
    <s v="inhibitor free sites"/>
    <s v="Radiolabelled CO2"/>
    <n v="10"/>
    <n v="1"/>
    <s v="Bicine"/>
    <n v="100"/>
    <n v="20"/>
    <n v="0.5"/>
    <n v="0"/>
    <n v="1"/>
    <n v="0.5"/>
    <n v="13"/>
    <n v="0"/>
    <n v="0"/>
    <n v="0"/>
    <n v="0"/>
    <n v="8.1999999999999993"/>
    <n v="25"/>
    <s v="?"/>
    <s v="crude leaf"/>
  </r>
  <r>
    <s v="Seemann et al. 1985"/>
    <n v="1985"/>
    <x v="12"/>
    <x v="5"/>
    <x v="6"/>
    <x v="31"/>
    <x v="35"/>
    <x v="10"/>
    <x v="13"/>
    <x v="18"/>
    <x v="26"/>
    <x v="49"/>
    <x v="99"/>
    <x v="148"/>
    <s v="Tender Green"/>
    <s v="Very High"/>
    <x v="198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Servaites et al. 1986"/>
    <n v="1986"/>
    <x v="12"/>
    <x v="5"/>
    <x v="6"/>
    <x v="31"/>
    <x v="35"/>
    <x v="10"/>
    <x v="13"/>
    <x v="18"/>
    <x v="26"/>
    <x v="49"/>
    <x v="99"/>
    <x v="148"/>
    <s v="N/A"/>
    <s v="Very High"/>
    <x v="199"/>
    <s v="&gt;1000"/>
    <s v="&lt;10"/>
    <s v="This compares total activity values from predawn and midday samples. From table I"/>
    <s v="umol CO2 / min * mg protein"/>
    <s v="Radiolabelled CO2"/>
    <n v="10"/>
    <n v="0.5"/>
    <s v="Bicine"/>
    <n v="100"/>
    <n v="5"/>
    <n v="0"/>
    <n v="5"/>
    <n v="0"/>
    <n v="0.66"/>
    <n v="10"/>
    <n v="0"/>
    <n v="0"/>
    <n v="0"/>
    <n v="0"/>
    <n v="8"/>
    <n v="25"/>
    <s v="?"/>
    <s v="crude leaf"/>
  </r>
  <r>
    <s v="Kobza and Seemann 1988"/>
    <n v="1988"/>
    <x v="12"/>
    <x v="5"/>
    <x v="6"/>
    <x v="31"/>
    <x v="35"/>
    <x v="10"/>
    <x v="13"/>
    <x v="18"/>
    <x v="26"/>
    <x v="49"/>
    <x v="99"/>
    <x v="148"/>
    <s v="N/A"/>
    <s v="Very High"/>
    <x v="200"/>
    <n v="400"/>
    <n v="0"/>
    <s v="This compares total activity values from light and dark; data points approximated using SplineCloud plot digitizer, from figures 1B, 2B, and 3B"/>
    <s v="mol CO2 / mol Rubisco * s"/>
    <s v="Radiolabelled CO2"/>
    <n v="10"/>
    <n v="0.5"/>
    <s v="Bicine"/>
    <n v="100"/>
    <n v="10"/>
    <n v="1"/>
    <n v="0"/>
    <n v="0.1"/>
    <n v="0.5"/>
    <n v="20"/>
    <n v="0"/>
    <n v="0"/>
    <n v="0"/>
    <n v="0"/>
    <n v="7.8"/>
    <n v="25"/>
    <s v="?"/>
    <s v="crude leaf"/>
  </r>
  <r>
    <s v="Kobza and Seemann 1989b"/>
    <n v="1989"/>
    <x v="12"/>
    <x v="5"/>
    <x v="6"/>
    <x v="31"/>
    <x v="35"/>
    <x v="10"/>
    <x v="13"/>
    <x v="18"/>
    <x v="26"/>
    <x v="49"/>
    <x v="99"/>
    <x v="148"/>
    <s v="Linden"/>
    <s v="Very High"/>
    <x v="201"/>
    <n v="600"/>
    <n v="0"/>
    <s v="This compares total activity values from light and dark; data points approximated using SplineCloud plot digitizer, from figures 1C, 2C, and 3C"/>
    <s v="mol CO2 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Kobza and Seemann 1989"/>
    <n v="1989"/>
    <x v="12"/>
    <x v="5"/>
    <x v="6"/>
    <x v="31"/>
    <x v="35"/>
    <x v="10"/>
    <x v="13"/>
    <x v="18"/>
    <x v="26"/>
    <x v="49"/>
    <x v="99"/>
    <x v="148"/>
    <s v="Linden"/>
    <s v="Very High"/>
    <x v="202"/>
    <n v="1100"/>
    <n v="0"/>
    <s v="This compares total activity values from light and dark; data points approximated using SplineCloud plot digitizer, from figures 2A, 3A, and 4A"/>
    <s v="mol CO2 / mol Rubisco * s"/>
    <s v="Radiolabelled CO2"/>
    <n v="10"/>
    <n v="0.5"/>
    <s v="Bicine"/>
    <n v="100"/>
    <n v="20"/>
    <n v="5"/>
    <n v="0"/>
    <n v="1"/>
    <n v="1.5"/>
    <n v="10"/>
    <n v="0"/>
    <n v="0"/>
    <n v="0"/>
    <n v="0"/>
    <n v="8.1999999999999993"/>
    <n v="25"/>
    <s v="?"/>
    <s v="crude leaf"/>
  </r>
  <r>
    <s v="Holbrook 1992"/>
    <n v="1992"/>
    <x v="12"/>
    <x v="5"/>
    <x v="6"/>
    <x v="31"/>
    <x v="35"/>
    <x v="10"/>
    <x v="13"/>
    <x v="18"/>
    <x v="26"/>
    <x v="49"/>
    <x v="99"/>
    <x v="148"/>
    <s v="Commodore bush bean"/>
    <s v="High"/>
    <x v="20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5"/>
    <x v="10"/>
    <x v="13"/>
    <x v="18"/>
    <x v="26"/>
    <x v="49"/>
    <x v="99"/>
    <x v="148"/>
    <s v="Kentucky wonder bean"/>
    <s v="High"/>
    <x v="204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5"/>
    <x v="10"/>
    <x v="13"/>
    <x v="18"/>
    <x v="26"/>
    <x v="49"/>
    <x v="99"/>
    <x v="148"/>
    <s v="N/A"/>
    <s v="High"/>
    <x v="205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1"/>
    <x v="35"/>
    <x v="10"/>
    <x v="13"/>
    <x v="18"/>
    <x v="26"/>
    <x v="49"/>
    <x v="99"/>
    <x v="148"/>
    <s v="Sungold bush bean"/>
    <s v="High"/>
    <x v="20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age et al. 1993"/>
    <n v="1993"/>
    <x v="12"/>
    <x v="5"/>
    <x v="6"/>
    <x v="31"/>
    <x v="35"/>
    <x v="10"/>
    <x v="13"/>
    <x v="18"/>
    <x v="26"/>
    <x v="49"/>
    <x v="99"/>
    <x v="148"/>
    <s v="Linden"/>
    <s v="High"/>
    <x v="207"/>
    <n v="800"/>
    <n v="40"/>
    <s v="This compares total activity values from light and dark; from Table 2; supplemental material shows evidence of sig. different kcat of activation temp for rubisco"/>
    <s v="mol CO2 / mol Rubisco * s"/>
    <s v="Radiolabelled CO2"/>
    <n v="10"/>
    <n v="1"/>
    <s v="Bicine"/>
    <n v="100"/>
    <n v="20"/>
    <n v="1"/>
    <n v="0"/>
    <n v="0"/>
    <n v="0.5"/>
    <n v="10"/>
    <n v="0"/>
    <n v="0"/>
    <n v="0"/>
    <n v="0"/>
    <n v="8"/>
    <n v="25"/>
    <s v="4mM amino-caproic acid, 08mM benzamide, 0.1% BSA, 1.5% PV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Aborigenous"/>
    <s v="Very High"/>
    <x v="208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Aborigenous"/>
    <s v="Very High"/>
    <x v="209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Aborigenous"/>
    <s v="Very High"/>
    <x v="197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Black Turtle"/>
    <s v="Very High"/>
    <x v="210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Blue Lake"/>
    <s v="Very High"/>
    <x v="211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Burpee Golden"/>
    <s v="High"/>
    <x v="212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Canario"/>
    <s v="Very High"/>
    <x v="213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Jamapa"/>
    <s v="Very High"/>
    <x v="214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Jamapa"/>
    <s v="Very High"/>
    <x v="215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Kentucky Wonder"/>
    <s v="Very High"/>
    <x v="216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Linden"/>
    <s v="Very High"/>
    <x v="217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anameno"/>
    <s v="Very High"/>
    <x v="218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anameno"/>
    <s v="Very High"/>
    <x v="219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eanut"/>
    <s v="Very High"/>
    <x v="220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I# 150413"/>
    <s v="Very High"/>
    <x v="221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I# 201010"/>
    <s v="Very High"/>
    <x v="217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I# 207141"/>
    <s v="Very High"/>
    <x v="222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oroto Blanco"/>
    <s v="Very High"/>
    <x v="223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rovider"/>
    <s v="Very High"/>
    <x v="218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Provider"/>
    <s v="Very High"/>
    <x v="224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Rocdor Bush Wax"/>
    <s v="Very High"/>
    <x v="223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0"/>
    <x v="13"/>
    <x v="18"/>
    <x v="26"/>
    <x v="49"/>
    <x v="99"/>
    <x v="148"/>
    <s v="Tenderpod"/>
    <s v="Very High"/>
    <x v="225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eemann et al. 1985"/>
    <n v="1985"/>
    <x v="12"/>
    <x v="5"/>
    <x v="6"/>
    <x v="31"/>
    <x v="35"/>
    <x v="11"/>
    <x v="13"/>
    <x v="18"/>
    <x v="26"/>
    <x v="49"/>
    <x v="99"/>
    <x v="149"/>
    <s v="N/A"/>
    <s v="High"/>
    <x v="226"/>
    <s v="Sunlight"/>
    <s v="Full Dark"/>
    <s v="This compares total activity values from light and dark. From table I"/>
    <s v="mol CO2 / mol Rubisco * s"/>
    <s v="Radiolabelled CO2"/>
    <n v="10"/>
    <n v="0.5"/>
    <s v="Bicine"/>
    <n v="100"/>
    <n v="20"/>
    <n v="5"/>
    <m/>
    <n v="0.1"/>
    <n v="0.5"/>
    <n v="10"/>
    <n v="0"/>
    <n v="0"/>
    <n v="0"/>
    <n v="0"/>
    <n v="7.8"/>
    <n v="25"/>
    <s v="N/A"/>
    <s v="crude leaf"/>
  </r>
  <r>
    <s v="Holbrook 1992"/>
    <n v="1992"/>
    <x v="12"/>
    <x v="5"/>
    <x v="6"/>
    <x v="31"/>
    <x v="35"/>
    <x v="11"/>
    <x v="13"/>
    <x v="18"/>
    <x v="26"/>
    <x v="49"/>
    <x v="99"/>
    <x v="149"/>
    <s v="N/A"/>
    <s v="High"/>
    <x v="106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Sage 1993"/>
    <n v="1993"/>
    <x v="12"/>
    <x v="5"/>
    <x v="6"/>
    <x v="31"/>
    <x v="35"/>
    <x v="11"/>
    <x v="13"/>
    <x v="18"/>
    <x v="26"/>
    <x v="49"/>
    <x v="99"/>
    <x v="149"/>
    <s v="Emperor"/>
    <s v="High"/>
    <x v="227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1"/>
    <x v="13"/>
    <x v="18"/>
    <x v="26"/>
    <x v="49"/>
    <x v="99"/>
    <x v="149"/>
    <s v="PI# 417585"/>
    <s v="Very High"/>
    <x v="197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2"/>
    <x v="13"/>
    <x v="18"/>
    <x v="26"/>
    <x v="49"/>
    <x v="99"/>
    <x v="150"/>
    <s v="PI #319445"/>
    <s v="High"/>
    <x v="228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2"/>
    <x v="13"/>
    <x v="18"/>
    <x v="26"/>
    <x v="49"/>
    <x v="99"/>
    <x v="150"/>
    <s v="PI #440799"/>
    <s v="Very High"/>
    <x v="229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5"/>
    <x v="12"/>
    <x v="13"/>
    <x v="18"/>
    <x v="26"/>
    <x v="49"/>
    <x v="99"/>
    <x v="150"/>
    <s v="PI# 53520"/>
    <s v="Very High"/>
    <x v="230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Sage 1993"/>
    <n v="1993"/>
    <x v="12"/>
    <x v="5"/>
    <x v="6"/>
    <x v="31"/>
    <x v="36"/>
    <x v="0"/>
    <x v="13"/>
    <x v="18"/>
    <x v="26"/>
    <x v="49"/>
    <x v="100"/>
    <x v="151"/>
    <s v="N/A"/>
    <s v="High"/>
    <x v="15"/>
    <s v="&gt;1200"/>
    <n v="0"/>
    <s v="This compares total molar activity values from light and dark treated leaf samples; from tables 1 &amp; 2"/>
    <s v="mol CO2 / mol Rubisco * s"/>
    <s v="Radiolabelled CO2"/>
    <n v="10"/>
    <n v="1"/>
    <s v="Bicine"/>
    <n v="100"/>
    <n v="20"/>
    <n v="1"/>
    <n v="0"/>
    <n v="1"/>
    <s v="?"/>
    <n v="10"/>
    <n v="0"/>
    <n v="2"/>
    <n v="0"/>
    <n v="0"/>
    <n v="8.1999999999999993"/>
    <n v="25"/>
    <s v="phosphoriboisomerase, phosphorubulokinase, 1.5mM Ru5P"/>
    <s v="crude leaf"/>
  </r>
  <r>
    <s v="Holbrook 1992"/>
    <n v="1992"/>
    <x v="12"/>
    <x v="5"/>
    <x v="6"/>
    <x v="32"/>
    <x v="23"/>
    <x v="0"/>
    <x v="13"/>
    <x v="18"/>
    <x v="26"/>
    <x v="50"/>
    <x v="101"/>
    <x v="152"/>
    <s v="N/A"/>
    <s v="Moderate"/>
    <x v="231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2"/>
    <x v="23"/>
    <x v="0"/>
    <x v="13"/>
    <x v="18"/>
    <x v="26"/>
    <x v="50"/>
    <x v="101"/>
    <x v="153"/>
    <s v="N/A"/>
    <s v="Moderate"/>
    <x v="232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Holbrook 1992"/>
    <n v="1992"/>
    <x v="12"/>
    <x v="5"/>
    <x v="6"/>
    <x v="32"/>
    <x v="23"/>
    <x v="0"/>
    <x v="13"/>
    <x v="18"/>
    <x v="26"/>
    <x v="50"/>
    <x v="101"/>
    <x v="154"/>
    <s v="N/A"/>
    <s v="Low"/>
    <x v="233"/>
    <n v="330"/>
    <s v="Full Dark (1hour prior to &quot;dawn&quot;)"/>
    <s v="This compares total activity values from predawn and midday leaf samples; from table 1"/>
    <s v="umol CO2 / mg protein*h"/>
    <s v="Radiolabelled CO2"/>
    <n v="5"/>
    <n v="0.5"/>
    <s v="Tris-HCl 50"/>
    <n v="50"/>
    <n v="5"/>
    <n v="5"/>
    <n v="0"/>
    <n v="0"/>
    <n v="0.2"/>
    <n v="20"/>
    <n v="0"/>
    <n v="0"/>
    <n v="0"/>
    <n v="0"/>
    <n v="8"/>
    <n v="25"/>
    <s v="10mM isoascorbic acid"/>
    <s v="crude leaf"/>
  </r>
  <r>
    <s v="Maxwell et al. 2002"/>
    <n v="2002"/>
    <x v="13"/>
    <x v="12"/>
    <x v="0"/>
    <x v="1"/>
    <x v="0"/>
    <x v="0"/>
    <x v="14"/>
    <x v="19"/>
    <x v="0"/>
    <x v="51"/>
    <x v="102"/>
    <x v="155"/>
    <s v="N/A"/>
    <s v="Very High"/>
    <x v="234"/>
    <n v="300"/>
    <n v="0"/>
    <s v="This compares total activity values from predawn and highest day values. Data points approximated using SplineCloud plot digitizer, from figures 3a, 6c, and 8b"/>
    <s v="% maximum"/>
    <s v="Radiolabelled CO2"/>
    <n v="7"/>
    <n v="1"/>
    <s v="HEPES-KOH"/>
    <n v="166"/>
    <n v="10"/>
    <n v="4"/>
    <n v="2.8"/>
    <n v="1"/>
    <n v="5"/>
    <n v="20"/>
    <n v="0"/>
    <n v="0"/>
    <n v="0"/>
    <n v="0"/>
    <n v="8"/>
    <n v="30"/>
    <s v="PVPP, PEG, Tween, PVP"/>
    <s v="crude leaf"/>
  </r>
  <r>
    <s v="Salvucci et al. 1985"/>
    <n v="1985"/>
    <x v="14"/>
    <x v="13"/>
    <x v="1"/>
    <x v="11"/>
    <x v="0"/>
    <x v="0"/>
    <x v="15"/>
    <x v="20"/>
    <x v="27"/>
    <x v="52"/>
    <x v="103"/>
    <x v="156"/>
    <s v="Columbia"/>
    <s v="Low"/>
    <x v="21"/>
    <n v="300"/>
    <n v="0"/>
    <s v="The paper claims that total rubisco activity between dark, low light, and full light samples did not differ"/>
    <s v="umol CO2 /mg chl * hr"/>
    <s v="Radiolabelled CO2"/>
    <n v="10"/>
    <n v="0.5"/>
    <s v="Tricine"/>
    <n v="100"/>
    <n v="10"/>
    <n v="0"/>
    <n v="0"/>
    <n v="0"/>
    <n v="0.4"/>
    <n v="10"/>
    <n v="0"/>
    <n v="0"/>
    <n v="0"/>
    <n v="0"/>
    <n v="8.1"/>
    <n v="25"/>
    <s v="?"/>
    <s v="crude leaf"/>
  </r>
  <r>
    <s v="Brooks and Portis 1988"/>
    <n v="1988"/>
    <x v="14"/>
    <x v="13"/>
    <x v="1"/>
    <x v="11"/>
    <x v="0"/>
    <x v="0"/>
    <x v="15"/>
    <x v="20"/>
    <x v="27"/>
    <x v="52"/>
    <x v="103"/>
    <x v="156"/>
    <s v="N/A"/>
    <s v="Low"/>
    <x v="21"/>
    <n v="800"/>
    <n v="45"/>
    <s v="This compares total activity values from light and low light; No significant change in activity between low and high light was noted, but data not shown"/>
    <s v="umol CO2 / min * mg rubisco"/>
    <s v="Radiolabelled CO2"/>
    <n v="40"/>
    <n v="0.5"/>
    <s v="Tricine"/>
    <n v="100"/>
    <n v="10"/>
    <n v="0"/>
    <n v="0"/>
    <n v="0"/>
    <n v="0.4"/>
    <n v="10"/>
    <n v="0"/>
    <n v="0"/>
    <n v="0"/>
    <n v="0"/>
    <n v="8.1"/>
    <n v="25"/>
    <s v="0.05mM gloconate-6-P"/>
    <s v="crude leaf"/>
  </r>
  <r>
    <s v="Carmo-Silva and Salvucci 2013"/>
    <n v="2013"/>
    <x v="14"/>
    <x v="13"/>
    <x v="1"/>
    <x v="11"/>
    <x v="0"/>
    <x v="0"/>
    <x v="15"/>
    <x v="20"/>
    <x v="27"/>
    <x v="52"/>
    <x v="103"/>
    <x v="156"/>
    <s v="Columbia"/>
    <s v="Low"/>
    <x v="235"/>
    <n v="1000"/>
    <n v="30"/>
    <s v="This compares total activity values high and low light treated leaf samples; from table I"/>
    <s v="umol CO2 /min * mg protein"/>
    <s v="Radiolabelled CO2"/>
    <n v="3"/>
    <n v="0.5"/>
    <s v="Tricine"/>
    <n v="100"/>
    <n v="10"/>
    <n v="0.4"/>
    <n v="0"/>
    <n v="0.08"/>
    <n v="0.4"/>
    <n v="10"/>
    <n v="0"/>
    <n v="0"/>
    <n v="0"/>
    <n v="0"/>
    <n v="8"/>
    <n v="30"/>
    <s v="0.4% PVP, 0.08mM PMSF, 0.8uM Leupeptin, 0.48% PEG"/>
    <s v="crude leaf"/>
  </r>
  <r>
    <s v="Carmo-Silva and Salvucci 2013"/>
    <n v="2013"/>
    <x v="14"/>
    <x v="13"/>
    <x v="1"/>
    <x v="16"/>
    <x v="6"/>
    <x v="0"/>
    <x v="15"/>
    <x v="20"/>
    <x v="27"/>
    <x v="53"/>
    <x v="104"/>
    <x v="157"/>
    <s v="Robinson"/>
    <s v="High"/>
    <x v="236"/>
    <n v="1800"/>
    <n v="30"/>
    <s v="This compares total activity values high and low light treated leaf samples; from table I"/>
    <s v="umol CO2 /min * mg protein"/>
    <s v="Radiolabelled CO2"/>
    <n v="3"/>
    <n v="0.5"/>
    <s v="Tricine"/>
    <n v="100"/>
    <n v="10"/>
    <n v="0.4"/>
    <n v="0"/>
    <n v="0.08"/>
    <n v="0.4"/>
    <n v="10"/>
    <n v="0"/>
    <n v="0"/>
    <n v="0"/>
    <n v="0"/>
    <n v="8"/>
    <n v="30"/>
    <s v="0.4% PVP, 0.08mM PMSF, 0.8uM Leupeptin, 0.48% PEG"/>
    <s v="crude leaf"/>
  </r>
  <r>
    <s v="Vu et al. 1984"/>
    <n v="1984"/>
    <x v="14"/>
    <x v="13"/>
    <x v="1"/>
    <x v="33"/>
    <x v="15"/>
    <x v="0"/>
    <x v="15"/>
    <x v="20"/>
    <x v="27"/>
    <x v="54"/>
    <x v="105"/>
    <x v="158"/>
    <s v="N/A"/>
    <s v="Low"/>
    <x v="237"/>
    <s v="Sunlight"/>
    <n v="0"/>
    <s v="This compares total activity values from light and dark. Table II"/>
    <s v="umol CO2 /mg chl * hr"/>
    <s v="Radiolabelled CO2"/>
    <n v="5"/>
    <n v="0.75"/>
    <s v="Tris-HCl 50"/>
    <n v="50"/>
    <n v="10"/>
    <n v="5"/>
    <n v="0"/>
    <n v="0.1"/>
    <n v="0.5"/>
    <n v="20"/>
    <n v="0"/>
    <n v="0"/>
    <n v="0"/>
    <n v="0"/>
    <n v="8.5"/>
    <n v="30"/>
    <s v="?"/>
    <s v="crude leaf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AA137-8E7E-46D2-A01F-EE7CAC4D1B9E}" name="PivotTable8" cacheId="27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:N161" firstHeaderRow="0" firstDataRow="1" firstDataCol="12"/>
  <pivotFields count="40">
    <pivotField compact="0" outline="0" showAll="0"/>
    <pivotField compact="0" outline="0" showAll="0"/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0"/>
        <item x="4"/>
        <item x="1"/>
        <item x="5"/>
        <item x="11"/>
        <item x="12"/>
        <item x="7"/>
        <item x="2"/>
        <item x="3"/>
        <item x="6"/>
        <item x="10"/>
        <item x="13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2">
        <item x="0"/>
        <item x="1"/>
        <item x="5"/>
        <item x="11"/>
        <item x="2"/>
        <item x="4"/>
        <item x="6"/>
        <item x="10"/>
        <item x="3"/>
        <item x="9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4">
        <item x="0"/>
        <item x="1"/>
        <item x="4"/>
        <item x="5"/>
        <item x="3"/>
        <item x="10"/>
        <item x="6"/>
        <item x="13"/>
        <item x="14"/>
        <item x="15"/>
        <item x="7"/>
        <item x="8"/>
        <item x="9"/>
        <item x="11"/>
        <item x="12"/>
        <item x="16"/>
        <item x="2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3"/>
        <item x="30"/>
        <item x="31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37">
        <item x="24"/>
        <item x="0"/>
        <item x="6"/>
        <item x="23"/>
        <item x="3"/>
        <item x="12"/>
        <item x="4"/>
        <item x="14"/>
        <item x="22"/>
        <item x="25"/>
        <item x="30"/>
        <item x="27"/>
        <item x="31"/>
        <item x="26"/>
        <item x="8"/>
        <item x="5"/>
        <item x="9"/>
        <item x="10"/>
        <item x="1"/>
        <item x="28"/>
        <item x="29"/>
        <item x="18"/>
        <item x="19"/>
        <item x="13"/>
        <item x="11"/>
        <item x="20"/>
        <item x="21"/>
        <item x="32"/>
        <item x="15"/>
        <item x="33"/>
        <item x="34"/>
        <item x="35"/>
        <item x="16"/>
        <item x="36"/>
        <item x="7"/>
        <item x="17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4"/>
        <item x="6"/>
        <item x="15"/>
        <item x="8"/>
        <item x="0"/>
        <item x="11"/>
        <item x="13"/>
        <item x="14"/>
        <item x="10"/>
        <item x="2"/>
        <item x="5"/>
        <item x="12"/>
        <item x="9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12"/>
        <item x="11"/>
        <item x="4"/>
        <item x="9"/>
        <item x="20"/>
        <item x="6"/>
        <item x="19"/>
        <item x="14"/>
        <item x="16"/>
        <item x="7"/>
        <item x="0"/>
        <item x="18"/>
        <item x="3"/>
        <item x="17"/>
        <item x="2"/>
        <item x="15"/>
        <item x="5"/>
        <item x="8"/>
        <item x="13"/>
        <item x="1"/>
        <item x="10"/>
      </items>
    </pivotField>
    <pivotField axis="axisRow" compact="0" outline="0" showAll="0" defaultSubtotal="0">
      <items count="28">
        <item x="15"/>
        <item x="2"/>
        <item x="11"/>
        <item x="16"/>
        <item x="27"/>
        <item x="4"/>
        <item x="25"/>
        <item x="24"/>
        <item x="17"/>
        <item x="8"/>
        <item x="10"/>
        <item x="19"/>
        <item x="23"/>
        <item x="5"/>
        <item x="3"/>
        <item x="26"/>
        <item x="1"/>
        <item x="20"/>
        <item x="18"/>
        <item x="0"/>
        <item x="13"/>
        <item x="22"/>
        <item x="6"/>
        <item x="9"/>
        <item x="12"/>
        <item x="7"/>
        <item x="21"/>
        <item x="14"/>
      </items>
    </pivotField>
    <pivotField axis="axisRow" compact="0" outline="0" showAll="0" defaultSubtotal="0">
      <items count="55">
        <item x="46"/>
        <item x="30"/>
        <item x="10"/>
        <item x="20"/>
        <item x="52"/>
        <item x="44"/>
        <item x="27"/>
        <item x="25"/>
        <item x="19"/>
        <item x="54"/>
        <item x="53"/>
        <item x="16"/>
        <item x="28"/>
        <item x="21"/>
        <item x="39"/>
        <item x="11"/>
        <item x="51"/>
        <item x="1"/>
        <item x="33"/>
        <item x="24"/>
        <item x="7"/>
        <item x="3"/>
        <item x="31"/>
        <item x="48"/>
        <item x="26"/>
        <item x="40"/>
        <item x="34"/>
        <item x="38"/>
        <item x="43"/>
        <item x="12"/>
        <item x="45"/>
        <item x="37"/>
        <item x="47"/>
        <item x="29"/>
        <item x="0"/>
        <item x="15"/>
        <item x="23"/>
        <item x="4"/>
        <item x="8"/>
        <item x="9"/>
        <item x="14"/>
        <item x="49"/>
        <item x="17"/>
        <item x="50"/>
        <item x="35"/>
        <item x="36"/>
        <item x="18"/>
        <item x="32"/>
        <item x="13"/>
        <item x="22"/>
        <item x="42"/>
        <item x="5"/>
        <item x="2"/>
        <item x="41"/>
        <item x="6"/>
      </items>
    </pivotField>
    <pivotField axis="axisRow" compact="0" outline="0" showAll="0" defaultSubtotal="0">
      <items count="108">
        <item x="92"/>
        <item x="57"/>
        <item x="59"/>
        <item x="4"/>
        <item x="36"/>
        <item x="55"/>
        <item x="7"/>
        <item x="103"/>
        <item x="60"/>
        <item x="5"/>
        <item x="89"/>
        <item x="40"/>
        <item x="50"/>
        <item x="37"/>
        <item m="1" x="107"/>
        <item x="6"/>
        <item x="104"/>
        <item x="46"/>
        <item x="33"/>
        <item x="51"/>
        <item x="39"/>
        <item x="75"/>
        <item x="102"/>
        <item x="72"/>
        <item x="43"/>
        <item x="63"/>
        <item x="48"/>
        <item x="47"/>
        <item x="91"/>
        <item x="13"/>
        <item x="8"/>
        <item x="56"/>
        <item x="54"/>
        <item x="95"/>
        <item x="18"/>
        <item x="0"/>
        <item x="49"/>
        <item x="30"/>
        <item x="76"/>
        <item x="67"/>
        <item x="27"/>
        <item x="97"/>
        <item x="74"/>
        <item x="86"/>
        <item x="28"/>
        <item x="10"/>
        <item x="3"/>
        <item x="45"/>
        <item x="90"/>
        <item x="14"/>
        <item x="44"/>
        <item x="66"/>
        <item x="24"/>
        <item x="79"/>
        <item x="78"/>
        <item x="94"/>
        <item x="64"/>
        <item x="73"/>
        <item x="65"/>
        <item x="100"/>
        <item x="83"/>
        <item x="17"/>
        <item x="84"/>
        <item x="41"/>
        <item x="53"/>
        <item x="105"/>
        <item x="52"/>
        <item x="32"/>
        <item m="1" x="106"/>
        <item x="87"/>
        <item x="81"/>
        <item x="70"/>
        <item x="9"/>
        <item x="88"/>
        <item x="15"/>
        <item x="21"/>
        <item x="31"/>
        <item x="99"/>
        <item x="34"/>
        <item x="80"/>
        <item x="42"/>
        <item x="101"/>
        <item x="96"/>
        <item x="68"/>
        <item x="19"/>
        <item x="1"/>
        <item x="69"/>
        <item x="35"/>
        <item x="62"/>
        <item x="23"/>
        <item x="38"/>
        <item x="20"/>
        <item x="61"/>
        <item x="25"/>
        <item x="93"/>
        <item x="71"/>
        <item x="82"/>
        <item x="85"/>
        <item x="11"/>
        <item x="77"/>
        <item x="98"/>
        <item x="29"/>
        <item x="22"/>
        <item x="26"/>
        <item x="58"/>
        <item x="12"/>
        <item x="2"/>
        <item x="16"/>
      </items>
    </pivotField>
    <pivotField axis="axisRow" compact="0" outline="0" showAll="0" defaultSubtotal="0">
      <items count="161">
        <item x="127"/>
        <item x="69"/>
        <item x="70"/>
        <item x="72"/>
        <item x="4"/>
        <item x="44"/>
        <item x="45"/>
        <item x="67"/>
        <item x="7"/>
        <item x="156"/>
        <item x="73"/>
        <item x="5"/>
        <item x="124"/>
        <item x="49"/>
        <item x="61"/>
        <item x="46"/>
        <item m="1" x="160"/>
        <item x="6"/>
        <item x="157"/>
        <item x="57"/>
        <item x="37"/>
        <item n="Senna marilandica" x="62"/>
        <item x="48"/>
        <item x="97"/>
        <item x="155"/>
        <item x="91"/>
        <item x="92"/>
        <item x="53"/>
        <item x="78"/>
        <item x="59"/>
        <item x="58"/>
        <item x="126"/>
        <item x="14"/>
        <item x="8"/>
        <item x="9"/>
        <item x="68"/>
        <item x="65"/>
        <item x="66"/>
        <item x="132"/>
        <item x="20"/>
        <item x="0"/>
        <item x="60"/>
        <item x="33"/>
        <item x="98"/>
        <item x="86"/>
        <item x="30"/>
        <item x="134"/>
        <item x="95"/>
        <item x="96"/>
        <item x="119"/>
        <item x="120"/>
        <item x="31"/>
        <item x="11"/>
        <item x="3"/>
        <item x="56"/>
        <item x="125"/>
        <item x="15"/>
        <item x="54"/>
        <item x="55"/>
        <item x="85"/>
        <item x="27"/>
        <item x="105"/>
        <item x="106"/>
        <item x="104"/>
        <item x="130"/>
        <item x="131"/>
        <item x="79"/>
        <item x="93"/>
        <item x="94"/>
        <item x="81"/>
        <item x="80"/>
        <item x="82"/>
        <item x="83"/>
        <item x="84"/>
        <item x="151"/>
        <item x="115"/>
        <item x="19"/>
        <item x="116"/>
        <item x="117"/>
        <item x="50"/>
        <item x="64"/>
        <item x="158"/>
        <item x="63"/>
        <item x="35"/>
        <item x="36"/>
        <item m="1" x="159"/>
        <item x="121"/>
        <item x="110"/>
        <item x="111"/>
        <item x="89"/>
        <item x="10"/>
        <item x="122"/>
        <item x="123"/>
        <item x="16"/>
        <item x="17"/>
        <item x="24"/>
        <item x="34"/>
        <item x="150"/>
        <item x="143"/>
        <item x="149"/>
        <item x="144"/>
        <item x="140"/>
        <item x="141"/>
        <item x="145"/>
        <item x="147"/>
        <item x="146"/>
        <item x="139"/>
        <item x="148"/>
        <item x="142"/>
        <item x="38"/>
        <item x="108"/>
        <item x="107"/>
        <item x="109"/>
        <item x="51"/>
        <item x="52"/>
        <item x="152"/>
        <item x="153"/>
        <item x="154"/>
        <item x="133"/>
        <item x="87"/>
        <item x="22"/>
        <item x="21"/>
        <item x="1"/>
        <item x="88"/>
        <item x="39"/>
        <item x="41"/>
        <item x="43"/>
        <item x="40"/>
        <item x="42"/>
        <item x="75"/>
        <item x="76"/>
        <item x="77"/>
        <item x="26"/>
        <item x="47"/>
        <item x="23"/>
        <item x="74"/>
        <item x="28"/>
        <item x="128"/>
        <item x="129"/>
        <item x="90"/>
        <item x="112"/>
        <item x="114"/>
        <item x="113"/>
        <item x="118"/>
        <item x="12"/>
        <item x="99"/>
        <item x="103"/>
        <item x="102"/>
        <item x="101"/>
        <item x="100"/>
        <item x="136"/>
        <item x="138"/>
        <item x="137"/>
        <item x="135"/>
        <item x="32"/>
        <item x="25"/>
        <item x="29"/>
        <item x="71"/>
        <item x="13"/>
        <item x="2"/>
        <item x="18"/>
      </items>
    </pivotField>
    <pivotField compact="0" outline="0" showAll="0"/>
    <pivotField compact="0" outline="0" showAll="0"/>
    <pivotField dataField="1" compact="0" outline="0" showAll="0">
      <items count="239">
        <item x="83"/>
        <item x="86"/>
        <item x="26"/>
        <item x="36"/>
        <item x="77"/>
        <item x="72"/>
        <item x="137"/>
        <item x="3"/>
        <item x="76"/>
        <item x="78"/>
        <item x="25"/>
        <item x="41"/>
        <item x="9"/>
        <item x="73"/>
        <item x="29"/>
        <item x="20"/>
        <item x="30"/>
        <item x="65"/>
        <item x="38"/>
        <item x="74"/>
        <item x="21"/>
        <item x="133"/>
        <item x="39"/>
        <item x="79"/>
        <item x="135"/>
        <item x="115"/>
        <item x="28"/>
        <item x="129"/>
        <item x="19"/>
        <item x="42"/>
        <item x="37"/>
        <item x="136"/>
        <item x="152"/>
        <item x="235"/>
        <item x="134"/>
        <item x="33"/>
        <item x="66"/>
        <item x="116"/>
        <item x="237"/>
        <item x="132"/>
        <item x="24"/>
        <item x="176"/>
        <item x="131"/>
        <item x="40"/>
        <item x="111"/>
        <item x="43"/>
        <item x="114"/>
        <item x="10"/>
        <item x="32"/>
        <item x="138"/>
        <item x="173"/>
        <item x="142"/>
        <item x="96"/>
        <item x="108"/>
        <item x="128"/>
        <item x="67"/>
        <item x="44"/>
        <item x="233"/>
        <item x="6"/>
        <item x="180"/>
        <item x="75"/>
        <item x="139"/>
        <item x="113"/>
        <item x="146"/>
        <item x="172"/>
        <item x="231"/>
        <item x="126"/>
        <item x="105"/>
        <item x="80"/>
        <item x="163"/>
        <item x="150"/>
        <item x="34"/>
        <item x="81"/>
        <item x="119"/>
        <item x="60"/>
        <item x="153"/>
        <item x="23"/>
        <item x="124"/>
        <item x="22"/>
        <item x="27"/>
        <item x="97"/>
        <item x="156"/>
        <item x="11"/>
        <item x="107"/>
        <item x="14"/>
        <item x="58"/>
        <item x="181"/>
        <item x="187"/>
        <item x="140"/>
        <item x="61"/>
        <item x="193"/>
        <item x="144"/>
        <item x="110"/>
        <item x="178"/>
        <item x="141"/>
        <item x="35"/>
        <item x="175"/>
        <item x="122"/>
        <item x="92"/>
        <item x="157"/>
        <item x="13"/>
        <item x="95"/>
        <item x="147"/>
        <item x="232"/>
        <item x="45"/>
        <item x="177"/>
        <item x="4"/>
        <item x="5"/>
        <item x="46"/>
        <item x="121"/>
        <item x="143"/>
        <item x="171"/>
        <item x="170"/>
        <item x="55"/>
        <item x="164"/>
        <item x="87"/>
        <item x="12"/>
        <item x="63"/>
        <item x="151"/>
        <item x="159"/>
        <item x="91"/>
        <item x="154"/>
        <item x="71"/>
        <item x="84"/>
        <item x="99"/>
        <item x="82"/>
        <item x="117"/>
        <item x="182"/>
        <item x="148"/>
        <item x="56"/>
        <item x="185"/>
        <item x="100"/>
        <item x="109"/>
        <item x="16"/>
        <item x="98"/>
        <item x="130"/>
        <item x="47"/>
        <item x="123"/>
        <item x="104"/>
        <item x="0"/>
        <item x="89"/>
        <item x="160"/>
        <item x="62"/>
        <item x="57"/>
        <item x="90"/>
        <item x="103"/>
        <item x="85"/>
        <item x="15"/>
        <item x="127"/>
        <item x="174"/>
        <item x="68"/>
        <item x="59"/>
        <item x="50"/>
        <item x="70"/>
        <item x="112"/>
        <item x="53"/>
        <item x="51"/>
        <item x="236"/>
        <item x="52"/>
        <item x="162"/>
        <item x="102"/>
        <item x="118"/>
        <item x="226"/>
        <item x="64"/>
        <item x="166"/>
        <item x="48"/>
        <item x="101"/>
        <item x="149"/>
        <item x="167"/>
        <item x="179"/>
        <item x="31"/>
        <item x="165"/>
        <item x="196"/>
        <item x="145"/>
        <item x="158"/>
        <item x="169"/>
        <item x="94"/>
        <item x="120"/>
        <item x="69"/>
        <item x="188"/>
        <item x="168"/>
        <item x="183"/>
        <item x="195"/>
        <item x="184"/>
        <item x="106"/>
        <item x="49"/>
        <item x="207"/>
        <item x="205"/>
        <item x="194"/>
        <item x="1"/>
        <item x="212"/>
        <item x="54"/>
        <item x="227"/>
        <item x="125"/>
        <item x="203"/>
        <item x="206"/>
        <item x="204"/>
        <item x="18"/>
        <item x="228"/>
        <item x="88"/>
        <item x="190"/>
        <item x="17"/>
        <item x="161"/>
        <item x="186"/>
        <item x="209"/>
        <item x="155"/>
        <item x="218"/>
        <item x="189"/>
        <item x="213"/>
        <item x="2"/>
        <item x="201"/>
        <item x="230"/>
        <item x="229"/>
        <item x="208"/>
        <item x="234"/>
        <item x="200"/>
        <item x="214"/>
        <item x="217"/>
        <item x="223"/>
        <item x="191"/>
        <item x="222"/>
        <item x="93"/>
        <item x="197"/>
        <item x="202"/>
        <item x="199"/>
        <item x="192"/>
        <item x="225"/>
        <item x="198"/>
        <item x="210"/>
        <item x="211"/>
        <item x="216"/>
        <item x="221"/>
        <item x="224"/>
        <item x="215"/>
        <item x="220"/>
        <item x="7"/>
        <item x="8"/>
        <item x="2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2">
    <field x="2"/>
    <field x="8"/>
    <field x="3"/>
    <field x="9"/>
    <field x="4"/>
    <field x="10"/>
    <field x="5"/>
    <field x="11"/>
    <field x="6"/>
    <field x="12"/>
    <field x="7"/>
    <field x="13"/>
  </rowFields>
  <rowItems count="160">
    <i>
      <x/>
      <x v="5"/>
      <x/>
      <x v="10"/>
      <x/>
      <x v="19"/>
      <x/>
      <x v="34"/>
      <x v="1"/>
      <x v="35"/>
      <x/>
      <x v="40"/>
    </i>
    <i>
      <x v="1"/>
      <x v="15"/>
      <x/>
      <x v="19"/>
      <x/>
      <x v="19"/>
      <x/>
      <x v="34"/>
      <x v="1"/>
      <x v="85"/>
      <x/>
      <x v="122"/>
    </i>
    <i>
      <x v="2"/>
      <x v="10"/>
      <x v="2"/>
      <x v="14"/>
      <x v="1"/>
      <x v="19"/>
      <x v="1"/>
      <x v="34"/>
      <x v="1"/>
      <x v="106"/>
      <x/>
      <x v="159"/>
    </i>
    <i>
      <x v="3"/>
      <x/>
      <x v="7"/>
      <x v="12"/>
      <x v="4"/>
      <x v="16"/>
      <x/>
      <x v="34"/>
      <x v="1"/>
      <x v="46"/>
      <x/>
      <x v="53"/>
    </i>
    <i r="2">
      <x v="8"/>
      <x v="2"/>
      <x v="8"/>
      <x v="1"/>
      <x/>
      <x v="17"/>
      <x v="18"/>
      <x v="3"/>
      <x/>
      <x v="4"/>
    </i>
    <i>
      <x v="4"/>
      <x v="1"/>
      <x/>
      <x v="16"/>
      <x v="5"/>
      <x v="14"/>
      <x/>
      <x v="52"/>
      <x v="36"/>
      <x v="9"/>
      <x/>
      <x v="11"/>
    </i>
    <i>
      <x v="5"/>
      <x v="11"/>
      <x v="1"/>
      <x v="5"/>
      <x v="8"/>
      <x v="5"/>
      <x/>
      <x v="34"/>
      <x v="1"/>
      <x v="15"/>
      <x/>
      <x v="17"/>
    </i>
    <i r="8">
      <x v="4"/>
      <x v="6"/>
      <x/>
      <x v="8"/>
    </i>
    <i r="2">
      <x v="3"/>
      <x v="9"/>
      <x v="2"/>
      <x v="13"/>
      <x v="16"/>
      <x v="21"/>
      <x v="1"/>
      <x v="30"/>
      <x/>
      <x v="33"/>
    </i>
    <i r="11">
      <x v="34"/>
    </i>
    <i r="2">
      <x v="9"/>
      <x v="17"/>
      <x v="4"/>
      <x v="22"/>
      <x v="1"/>
      <x v="37"/>
      <x v="6"/>
      <x v="72"/>
      <x/>
      <x v="90"/>
    </i>
    <i r="4">
      <x v="6"/>
      <x v="25"/>
      <x v="4"/>
      <x v="51"/>
      <x v="15"/>
      <x v="45"/>
      <x/>
      <x v="52"/>
    </i>
    <i r="8">
      <x v="18"/>
      <x v="98"/>
      <x/>
      <x v="144"/>
    </i>
    <i r="4">
      <x v="10"/>
      <x v="9"/>
      <x v="2"/>
      <x v="54"/>
      <x v="2"/>
      <x v="105"/>
      <x/>
      <x v="158"/>
    </i>
    <i r="6">
      <x v="3"/>
      <x v="20"/>
      <x v="34"/>
      <x v="29"/>
      <x/>
      <x v="32"/>
    </i>
    <i r="4">
      <x v="11"/>
      <x v="23"/>
      <x v="3"/>
      <x v="38"/>
      <x v="14"/>
      <x v="74"/>
      <x/>
      <x v="93"/>
    </i>
    <i r="11">
      <x v="94"/>
    </i>
    <i r="8">
      <x v="15"/>
      <x v="49"/>
      <x/>
      <x v="56"/>
    </i>
    <i r="8">
      <x v="16"/>
      <x v="107"/>
      <x/>
      <x v="160"/>
    </i>
    <i r="8">
      <x v="17"/>
      <x v="61"/>
      <x/>
      <x v="76"/>
    </i>
    <i r="8">
      <x v="24"/>
      <x v="34"/>
      <x/>
      <x v="39"/>
    </i>
    <i r="6">
      <x v="4"/>
      <x v="39"/>
      <x v="4"/>
      <x v="84"/>
      <x/>
      <x v="120"/>
    </i>
    <i r="11">
      <x v="121"/>
    </i>
    <i r="8">
      <x v="5"/>
      <x v="91"/>
      <x/>
      <x v="134"/>
    </i>
    <i r="8">
      <x v="23"/>
      <x v="75"/>
      <x/>
      <x v="95"/>
    </i>
    <i r="6">
      <x v="6"/>
      <x v="2"/>
      <x v="7"/>
      <x v="102"/>
      <x/>
      <x v="155"/>
    </i>
    <i r="8">
      <x v="28"/>
      <x v="89"/>
      <x/>
      <x v="132"/>
    </i>
    <i>
      <x v="6"/>
      <x v="2"/>
      <x v="6"/>
      <x v="3"/>
      <x v="9"/>
      <x v="10"/>
      <x v="4"/>
      <x v="15"/>
      <x v="32"/>
      <x v="52"/>
      <x/>
      <x v="60"/>
    </i>
    <i r="8">
      <x v="35"/>
      <x v="93"/>
      <x/>
      <x v="136"/>
    </i>
    <i r="4">
      <x v="11"/>
      <x v="2"/>
      <x v="6"/>
      <x v="29"/>
      <x v="21"/>
      <x v="103"/>
      <x/>
      <x v="156"/>
    </i>
    <i r="8">
      <x v="22"/>
      <x v="40"/>
      <x/>
      <x v="45"/>
    </i>
    <i r="8">
      <x v="25"/>
      <x v="44"/>
      <x/>
      <x v="51"/>
    </i>
    <i r="8">
      <x v="26"/>
      <x v="101"/>
      <x/>
      <x v="154"/>
    </i>
    <i r="6">
      <x v="10"/>
      <x v="48"/>
      <x v="8"/>
      <x v="37"/>
      <x/>
      <x v="42"/>
    </i>
    <i>
      <x v="7"/>
      <x v="14"/>
      <x v="3"/>
      <x v="20"/>
      <x v="6"/>
      <x v="24"/>
      <x v="1"/>
      <x v="40"/>
      <x v="1"/>
      <x v="76"/>
      <x/>
      <x v="96"/>
    </i>
    <i r="4">
      <x v="7"/>
      <x v="20"/>
      <x v="2"/>
      <x v="35"/>
      <x v="1"/>
      <x v="67"/>
      <x/>
      <x v="83"/>
    </i>
    <i r="11">
      <x v="84"/>
    </i>
    <i r="4">
      <x v="8"/>
      <x v="27"/>
      <x v="10"/>
      <x v="11"/>
      <x v="4"/>
      <x v="18"/>
      <x/>
      <x v="20"/>
    </i>
    <i r="6">
      <x v="11"/>
      <x v="42"/>
      <x v="18"/>
      <x v="78"/>
      <x/>
      <x v="109"/>
    </i>
    <i r="6">
      <x v="12"/>
      <x v="46"/>
      <x v="2"/>
      <x v="87"/>
      <x v="1"/>
      <x v="124"/>
    </i>
    <i r="10">
      <x v="2"/>
      <x v="127"/>
    </i>
    <i r="10">
      <x v="3"/>
      <x v="125"/>
    </i>
    <i r="10">
      <x v="4"/>
      <x v="128"/>
    </i>
    <i r="10">
      <x v="5"/>
      <x v="126"/>
    </i>
    <i>
      <x v="8"/>
      <x v="4"/>
      <x v="7"/>
      <x v="1"/>
      <x v="1"/>
      <x/>
      <x v="5"/>
      <x v="34"/>
      <x v="1"/>
      <x v="4"/>
      <x/>
      <x v="5"/>
    </i>
    <i r="11">
      <x v="6"/>
    </i>
    <i r="4">
      <x v="5"/>
      <x v="3"/>
      <x v="1"/>
      <x v="8"/>
      <x v="1"/>
      <x v="13"/>
      <x/>
      <x v="15"/>
    </i>
    <i r="4">
      <x v="7"/>
      <x v="8"/>
      <x v="1"/>
      <x v="3"/>
      <x v="1"/>
      <x v="90"/>
      <x/>
      <x v="133"/>
    </i>
    <i r="6">
      <x v="2"/>
      <x v="13"/>
      <x v="4"/>
      <x v="20"/>
      <x/>
      <x v="22"/>
    </i>
    <i r="8">
      <x v="6"/>
      <x v="11"/>
      <x/>
      <x v="13"/>
    </i>
    <i r="2">
      <x v="12"/>
      <x/>
      <x v="3"/>
      <x v="18"/>
      <x/>
      <x v="34"/>
      <x v="3"/>
      <x v="63"/>
      <x/>
      <x v="79"/>
    </i>
    <i r="2">
      <x v="13"/>
      <x v="18"/>
      <x/>
      <x v="19"/>
      <x/>
      <x v="34"/>
      <x v="1"/>
      <x v="80"/>
      <x/>
      <x v="113"/>
    </i>
    <i r="11">
      <x v="114"/>
    </i>
    <i>
      <x v="9"/>
      <x v="13"/>
      <x v="10"/>
      <x v="7"/>
      <x v="1"/>
      <x v="11"/>
      <x/>
      <x v="34"/>
      <x v="1"/>
      <x v="24"/>
      <x/>
      <x v="27"/>
    </i>
    <i r="4">
      <x v="2"/>
      <x v="17"/>
      <x/>
      <x v="34"/>
      <x v="1"/>
      <x v="50"/>
      <x/>
      <x v="57"/>
    </i>
    <i r="11">
      <x v="58"/>
    </i>
    <i r="4">
      <x v="3"/>
      <x v="26"/>
      <x v="1"/>
      <x v="49"/>
      <x/>
      <x v="47"/>
      <x/>
      <x v="54"/>
    </i>
    <i>
      <x v="10"/>
      <x v="9"/>
      <x v="1"/>
      <x v="15"/>
      <x v="2"/>
      <x v="21"/>
      <x v="6"/>
      <x v="36"/>
      <x v="7"/>
      <x v="17"/>
      <x/>
      <x v="19"/>
    </i>
    <i>
      <x v="11"/>
      <x v="6"/>
      <x v="4"/>
      <x v="8"/>
      <x v="8"/>
      <x v="12"/>
      <x v="13"/>
      <x v="19"/>
      <x v="3"/>
      <x v="27"/>
      <x/>
      <x v="30"/>
    </i>
    <i r="6">
      <x v="14"/>
      <x v="7"/>
      <x v="5"/>
      <x v="26"/>
      <x/>
      <x v="29"/>
    </i>
    <i r="1">
      <x v="12"/>
      <x v="5"/>
      <x v="13"/>
      <x/>
      <x v="19"/>
      <x v="7"/>
      <x v="24"/>
      <x v="1"/>
      <x v="36"/>
      <x/>
      <x v="41"/>
    </i>
    <i>
      <x v="12"/>
      <x v="7"/>
      <x v="3"/>
      <x v="11"/>
      <x v="1"/>
      <x v="7"/>
      <x v="1"/>
      <x v="6"/>
      <x v="1"/>
      <x v="12"/>
      <x/>
      <x v="14"/>
    </i>
    <i r="4">
      <x v="5"/>
      <x v="6"/>
      <x v="1"/>
      <x v="12"/>
      <x v="1"/>
      <x v="19"/>
      <x/>
      <x v="21"/>
    </i>
    <i r="6">
      <x v="2"/>
      <x v="33"/>
      <x v="8"/>
      <x v="66"/>
      <x/>
      <x v="82"/>
    </i>
    <i r="8">
      <x v="9"/>
      <x v="64"/>
      <x/>
      <x v="80"/>
    </i>
    <i r="8">
      <x v="13"/>
      <x v="32"/>
      <x/>
      <x v="36"/>
    </i>
    <i r="11">
      <x v="37"/>
    </i>
    <i r="4">
      <x v="6"/>
      <x v="15"/>
      <x v="8"/>
      <x v="1"/>
      <x v="1"/>
      <x v="5"/>
      <x/>
      <x v="7"/>
    </i>
    <i r="8">
      <x v="3"/>
      <x v="31"/>
      <x/>
      <x v="35"/>
    </i>
    <i r="6">
      <x v="9"/>
      <x v="22"/>
      <x v="2"/>
      <x v="1"/>
      <x/>
      <x v="1"/>
    </i>
    <i r="11">
      <x v="2"/>
    </i>
    <i r="8">
      <x v="4"/>
      <x v="104"/>
      <x/>
      <x v="157"/>
    </i>
    <i r="8">
      <x v="11"/>
      <x v="2"/>
      <x/>
      <x v="3"/>
    </i>
    <i r="8">
      <x v="19"/>
      <x v="8"/>
      <x/>
      <x v="10"/>
    </i>
    <i r="8">
      <x v="20"/>
      <x v="92"/>
      <x/>
      <x v="135"/>
    </i>
    <i r="6">
      <x v="13"/>
      <x v="47"/>
      <x v="10"/>
      <x v="88"/>
      <x/>
      <x v="129"/>
    </i>
    <i r="11">
      <x v="130"/>
    </i>
    <i r="11">
      <x v="131"/>
    </i>
    <i r="6">
      <x v="14"/>
      <x v="18"/>
      <x v="1"/>
      <x v="25"/>
      <x/>
      <x v="28"/>
    </i>
    <i r="8">
      <x v="2"/>
      <x v="56"/>
      <x/>
      <x v="66"/>
    </i>
    <i r="6">
      <x v="15"/>
      <x v="26"/>
      <x v="4"/>
      <x v="58"/>
      <x v="1"/>
      <x v="70"/>
    </i>
    <i r="10">
      <x v="2"/>
      <x v="69"/>
    </i>
    <i r="11">
      <x v="71"/>
    </i>
    <i r="11">
      <x v="72"/>
    </i>
    <i r="11">
      <x v="73"/>
    </i>
    <i r="8">
      <x v="5"/>
      <x v="51"/>
      <x/>
      <x v="59"/>
    </i>
    <i r="8">
      <x v="12"/>
      <x v="39"/>
      <x/>
      <x v="44"/>
    </i>
    <i r="6">
      <x v="17"/>
      <x v="44"/>
      <x v="1"/>
      <x v="83"/>
      <x/>
      <x v="119"/>
    </i>
    <i r="6">
      <x v="18"/>
      <x v="45"/>
      <x v="1"/>
      <x v="86"/>
      <x/>
      <x v="123"/>
    </i>
    <i r="6">
      <x v="19"/>
      <x v="31"/>
      <x/>
      <x v="71"/>
      <x/>
      <x v="89"/>
    </i>
    <i r="9">
      <x v="95"/>
      <x/>
      <x v="139"/>
    </i>
    <i r="8">
      <x v="3"/>
      <x v="23"/>
      <x/>
      <x v="25"/>
    </i>
    <i r="11">
      <x v="26"/>
    </i>
    <i r="8">
      <x v="7"/>
      <x v="57"/>
      <x/>
      <x v="67"/>
    </i>
    <i r="11">
      <x v="68"/>
    </i>
    <i r="6">
      <x v="20"/>
      <x v="27"/>
      <x v="1"/>
      <x v="42"/>
      <x/>
      <x v="47"/>
    </i>
    <i r="11">
      <x v="48"/>
    </i>
    <i r="6">
      <x v="21"/>
      <x v="14"/>
      <x v="1"/>
      <x v="21"/>
      <x/>
      <x v="23"/>
    </i>
    <i r="6">
      <x v="22"/>
      <x v="25"/>
      <x v="1"/>
      <x v="38"/>
      <x/>
      <x v="43"/>
    </i>
    <i r="6">
      <x v="23"/>
      <x v="53"/>
      <x v="1"/>
      <x v="99"/>
      <x/>
      <x v="145"/>
    </i>
    <i r="10">
      <x v="1"/>
      <x v="149"/>
    </i>
    <i r="10">
      <x v="2"/>
      <x v="148"/>
    </i>
    <i r="10">
      <x v="3"/>
      <x v="147"/>
    </i>
    <i r="10">
      <x v="4"/>
      <x v="146"/>
    </i>
    <i r="8">
      <x v="2"/>
      <x v="54"/>
      <x/>
      <x v="63"/>
    </i>
    <i r="8">
      <x v="3"/>
      <x v="53"/>
      <x/>
      <x v="61"/>
    </i>
    <i r="11">
      <x v="62"/>
    </i>
    <i r="8">
      <x v="5"/>
      <x v="79"/>
      <x v="1"/>
      <x v="111"/>
    </i>
    <i r="10">
      <x v="2"/>
      <x v="110"/>
    </i>
    <i r="10">
      <x v="3"/>
      <x v="112"/>
    </i>
    <i r="6">
      <x v="24"/>
      <x v="50"/>
      <x v="1"/>
      <x v="70"/>
      <x/>
      <x v="87"/>
    </i>
    <i r="11">
      <x v="88"/>
    </i>
    <i r="8">
      <x v="2"/>
      <x v="96"/>
      <x v="1"/>
      <x v="140"/>
    </i>
    <i r="10">
      <x v="2"/>
      <x v="142"/>
    </i>
    <i r="10">
      <x v="3"/>
      <x v="141"/>
    </i>
    <i r="8">
      <x v="3"/>
      <x v="60"/>
      <x/>
      <x v="75"/>
    </i>
    <i r="8">
      <x v="4"/>
      <x v="62"/>
      <x/>
      <x v="77"/>
    </i>
    <i r="11">
      <x v="78"/>
    </i>
    <i r="8">
      <x v="5"/>
      <x v="97"/>
      <x/>
      <x v="143"/>
    </i>
    <i r="6">
      <x v="25"/>
      <x v="28"/>
      <x v="5"/>
      <x v="43"/>
      <x/>
      <x v="49"/>
    </i>
    <i r="11">
      <x v="50"/>
    </i>
    <i r="8">
      <x v="6"/>
      <x v="69"/>
      <x/>
      <x v="86"/>
    </i>
    <i r="6">
      <x v="26"/>
      <x v="5"/>
      <x v="1"/>
      <x v="73"/>
      <x/>
      <x v="91"/>
    </i>
    <i r="11">
      <x v="92"/>
    </i>
    <i r="8">
      <x v="3"/>
      <x v="10"/>
      <x/>
      <x v="12"/>
    </i>
    <i r="6">
      <x v="27"/>
      <x v="30"/>
      <x v="1"/>
      <x v="48"/>
      <x/>
      <x v="55"/>
    </i>
    <i r="8">
      <x v="2"/>
      <x v="28"/>
      <x/>
      <x v="31"/>
    </i>
    <i r="6">
      <x v="28"/>
      <x/>
      <x v="1"/>
      <x/>
      <x/>
      <x/>
    </i>
    <i r="6">
      <x v="29"/>
      <x v="32"/>
      <x v="6"/>
      <x v="94"/>
      <x/>
      <x v="137"/>
    </i>
    <i r="11">
      <x v="138"/>
    </i>
    <i r="6">
      <x v="31"/>
      <x v="23"/>
      <x v="2"/>
      <x v="55"/>
      <x/>
      <x v="64"/>
    </i>
    <i r="11">
      <x v="65"/>
    </i>
    <i r="8">
      <x v="11"/>
      <x v="33"/>
      <x/>
      <x v="38"/>
    </i>
    <i r="6">
      <x v="32"/>
      <x v="41"/>
      <x v="27"/>
      <x v="82"/>
      <x/>
      <x v="118"/>
    </i>
    <i r="8">
      <x v="29"/>
      <x v="41"/>
      <x/>
      <x v="46"/>
    </i>
    <i r="8">
      <x v="30"/>
      <x v="100"/>
      <x v="1"/>
      <x v="153"/>
    </i>
    <i r="10">
      <x v="2"/>
      <x v="150"/>
    </i>
    <i r="10">
      <x v="3"/>
      <x v="152"/>
    </i>
    <i r="10">
      <x v="4"/>
      <x v="151"/>
    </i>
    <i r="8">
      <x v="31"/>
      <x v="77"/>
      <x v="1"/>
      <x v="106"/>
    </i>
    <i r="10">
      <x v="2"/>
      <x v="101"/>
    </i>
    <i r="10">
      <x v="3"/>
      <x v="102"/>
    </i>
    <i r="10">
      <x v="4"/>
      <x v="108"/>
    </i>
    <i r="10">
      <x v="5"/>
      <x v="98"/>
    </i>
    <i r="10">
      <x v="6"/>
      <x v="100"/>
    </i>
    <i r="10">
      <x v="7"/>
      <x v="103"/>
    </i>
    <i r="10">
      <x v="8"/>
      <x v="105"/>
    </i>
    <i r="10">
      <x v="9"/>
      <x v="104"/>
    </i>
    <i r="10">
      <x v="10"/>
      <x v="107"/>
    </i>
    <i r="10">
      <x v="11"/>
      <x v="99"/>
    </i>
    <i r="10">
      <x v="12"/>
      <x v="97"/>
    </i>
    <i r="8">
      <x v="33"/>
      <x v="59"/>
      <x/>
      <x v="74"/>
    </i>
    <i r="6">
      <x v="33"/>
      <x v="43"/>
      <x v="3"/>
      <x v="81"/>
      <x/>
      <x v="115"/>
    </i>
    <i r="11">
      <x v="116"/>
    </i>
    <i r="11">
      <x v="117"/>
    </i>
    <i>
      <x v="13"/>
      <x v="8"/>
      <x v="5"/>
      <x v="6"/>
      <x/>
      <x v="19"/>
      <x v="1"/>
      <x v="16"/>
      <x v="1"/>
      <x v="22"/>
      <x/>
      <x v="24"/>
    </i>
    <i>
      <x v="14"/>
      <x v="3"/>
      <x v="11"/>
      <x v="4"/>
      <x v="1"/>
      <x v="4"/>
      <x v="13"/>
      <x v="4"/>
      <x v="1"/>
      <x v="7"/>
      <x/>
      <x v="9"/>
    </i>
    <i r="6">
      <x v="15"/>
      <x v="10"/>
      <x v="2"/>
      <x v="16"/>
      <x/>
      <x v="18"/>
    </i>
    <i r="6">
      <x v="30"/>
      <x v="9"/>
      <x v="28"/>
      <x v="65"/>
      <x/>
      <x v="8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ark Inhibition" fld="16" subtotal="average" baseField="0" baseItem="0"/>
    <dataField name="StdDev of Dark Inhibition" fld="16" subtotal="stdDev" baseField="0" baseItem="0"/>
  </dataFields>
  <formats count="16">
    <format dxfId="94">
      <pivotArea field="2" type="button" dataOnly="0" labelOnly="1" outline="0" axis="axisRow" fieldPosition="0"/>
    </format>
    <format dxfId="95">
      <pivotArea field="8" type="button" dataOnly="0" labelOnly="1" outline="0" axis="axisRow" fieldPosition="1"/>
    </format>
    <format dxfId="96">
      <pivotArea field="3" type="button" dataOnly="0" labelOnly="1" outline="0" axis="axisRow" fieldPosition="2"/>
    </format>
    <format dxfId="97">
      <pivotArea field="9" type="button" dataOnly="0" labelOnly="1" outline="0" axis="axisRow" fieldPosition="3"/>
    </format>
    <format dxfId="98">
      <pivotArea field="4" type="button" dataOnly="0" labelOnly="1" outline="0" axis="axisRow" fieldPosition="4"/>
    </format>
    <format dxfId="99">
      <pivotArea field="10" type="button" dataOnly="0" labelOnly="1" outline="0" axis="axisRow" fieldPosition="5"/>
    </format>
    <format dxfId="100">
      <pivotArea field="5" type="button" dataOnly="0" labelOnly="1" outline="0" axis="axisRow" fieldPosition="6"/>
    </format>
    <format dxfId="101">
      <pivotArea field="11" type="button" dataOnly="0" labelOnly="1" outline="0" axis="axisRow" fieldPosition="7"/>
    </format>
    <format dxfId="102">
      <pivotArea field="6" type="button" dataOnly="0" labelOnly="1" outline="0" axis="axisRow" fieldPosition="8"/>
    </format>
    <format dxfId="103">
      <pivotArea field="12" type="button" dataOnly="0" labelOnly="1" outline="0" axis="axisRow" fieldPosition="9"/>
    </format>
    <format dxfId="104">
      <pivotArea field="7" type="button" dataOnly="0" labelOnly="1" outline="0" axis="axisRow" fieldPosition="10"/>
    </format>
    <format dxfId="105">
      <pivotArea field="13" type="button" dataOnly="0" labelOnly="1" outline="0" axis="axisRow" fieldPosition="11"/>
    </format>
    <format dxfId="106">
      <pivotArea dataOnly="0" labelOnly="1" outline="0" axis="axisValues" fieldPosition="0"/>
    </format>
    <format dxfId="107">
      <pivotArea outline="0" fieldPosition="0">
        <references count="1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1"/>
          </reference>
          <reference field="7" count="1" selected="0">
            <x v="0"/>
          </reference>
          <reference field="8" count="1" selected="0">
            <x v="5"/>
          </reference>
          <reference field="9" count="1" selected="0">
            <x v="10"/>
          </reference>
          <reference field="10" count="1" selected="0">
            <x v="19"/>
          </reference>
          <reference field="11" count="1" selected="0">
            <x v="34"/>
          </reference>
          <reference field="12" count="1" selected="0">
            <x v="35"/>
          </reference>
          <reference field="13" count="1" selected="0">
            <x v="40"/>
          </reference>
        </references>
      </pivotArea>
    </format>
    <format dxfId="108">
      <pivotArea outline="0" fieldPosition="0">
        <references count="13">
          <reference field="4294967294" count="1" selected="0">
            <x v="0"/>
          </reference>
          <reference field="2" count="14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3" count="0" selected="0"/>
          <reference field="4" count="0" selected="0"/>
          <reference field="5" count="0" selected="0"/>
          <reference field="6" count="0" selected="0"/>
          <reference field="7" count="0" selected="0"/>
          <reference field="8" count="15" selected="0">
            <x v="0"/>
            <x v="1"/>
            <x v="2"/>
            <x v="3"/>
            <x v="4"/>
            <x v="6"/>
            <x v="7"/>
            <x v="8"/>
            <x v="9"/>
            <x v="10"/>
            <x v="11"/>
            <x v="12"/>
            <x v="13"/>
            <x v="14"/>
            <x v="15"/>
          </reference>
          <reference field="9" count="20" selected="0">
            <x v="0"/>
            <x v="1"/>
            <x v="2"/>
            <x v="3"/>
            <x v="4"/>
            <x v="5"/>
            <x v="6"/>
            <x v="7"/>
            <x v="8"/>
            <x v="9"/>
            <x v="11"/>
            <x v="12"/>
            <x v="13"/>
            <x v="14"/>
            <x v="15"/>
            <x v="16"/>
            <x v="17"/>
            <x v="18"/>
            <x v="19"/>
            <x v="20"/>
          </reference>
          <reference field="10" count="0" selected="0"/>
          <reference field="11" count="0" selected="0"/>
          <reference field="12" count="10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  <reference field="13" count="158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</reference>
        </references>
      </pivotArea>
    </format>
    <format dxfId="109">
      <pivotArea outline="0" fieldPosition="0">
        <references count="13">
          <reference field="4294967294" count="1" selected="0">
            <x v="1"/>
          </reference>
          <reference field="2" count="0" selected="0"/>
          <reference field="3" count="0" selected="0"/>
          <reference field="4" count="0" selected="0"/>
          <reference field="5" count="0" selected="0"/>
          <reference field="6" count="0" selected="0"/>
          <reference field="7" count="0" selected="0"/>
          <reference field="8" count="0" selected="0"/>
          <reference field="9" count="0" selected="0"/>
          <reference field="10" count="0" selected="0"/>
          <reference field="11" count="0" selected="0"/>
          <reference field="12" count="0" selected="0"/>
          <reference field="13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RIPE3">
  <a:themeElements>
    <a:clrScheme name="Custom 2">
      <a:dk1>
        <a:srgbClr val="354240"/>
      </a:dk1>
      <a:lt1>
        <a:srgbClr val="FFFFFF"/>
      </a:lt1>
      <a:dk2>
        <a:srgbClr val="3B875F"/>
      </a:dk2>
      <a:lt2>
        <a:srgbClr val="F4B425"/>
      </a:lt2>
      <a:accent1>
        <a:srgbClr val="F4B425"/>
      </a:accent1>
      <a:accent2>
        <a:srgbClr val="B99844"/>
      </a:accent2>
      <a:accent3>
        <a:srgbClr val="899E3B"/>
      </a:accent3>
      <a:accent4>
        <a:srgbClr val="3B875F"/>
      </a:accent4>
      <a:accent5>
        <a:srgbClr val="637333"/>
      </a:accent5>
      <a:accent6>
        <a:srgbClr val="FFCB0B"/>
      </a:accent6>
      <a:hlink>
        <a:srgbClr val="3B875F"/>
      </a:hlink>
      <a:folHlink>
        <a:srgbClr val="637333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RIPE3" id="{FBA1DED1-46EC-4996-A076-0F653DC44404}" vid="{08E2D724-EB67-4866-8991-DDB5C1F3D27D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cademic.oup.com/jxb/article/45/8/1119/571708" TargetMode="External"/><Relationship Id="rId21" Type="http://schemas.openxmlformats.org/officeDocument/2006/relationships/hyperlink" Target="https://academic.oup.com/plphys/article/76/3/843/6081807?login=true" TargetMode="External"/><Relationship Id="rId42" Type="http://schemas.openxmlformats.org/officeDocument/2006/relationships/hyperlink" Target="https://academic.oup.com/plphys/article/82/4/1161/6082098" TargetMode="External"/><Relationship Id="rId63" Type="http://schemas.openxmlformats.org/officeDocument/2006/relationships/hyperlink" Target="https://academic.oup.com/plphys/article/82/4/1161/6082098" TargetMode="External"/><Relationship Id="rId84" Type="http://schemas.openxmlformats.org/officeDocument/2006/relationships/hyperlink" Target="https://pmc.ncbi.nlm.nih.gov/articles/PMC391434/" TargetMode="External"/><Relationship Id="rId138" Type="http://schemas.openxmlformats.org/officeDocument/2006/relationships/hyperlink" Target="https://link.springer.com/article/10.1007/BF00028796" TargetMode="External"/><Relationship Id="rId107" Type="http://schemas.openxmlformats.org/officeDocument/2006/relationships/hyperlink" Target="https://academic.oup.com/plphys/article/73/3/729/6079265" TargetMode="External"/><Relationship Id="rId11" Type="http://schemas.openxmlformats.org/officeDocument/2006/relationships/hyperlink" Target="https://academic.oup.com/plphys/article/85/1/66/6084116" TargetMode="External"/><Relationship Id="rId32" Type="http://schemas.openxmlformats.org/officeDocument/2006/relationships/hyperlink" Target="https://academic.oup.com/plphys/article/102/1/21/6066823?login=true" TargetMode="External"/><Relationship Id="rId53" Type="http://schemas.openxmlformats.org/officeDocument/2006/relationships/hyperlink" Target="https://academic.oup.com/plphys/article/76/3/843/6081807?login=true" TargetMode="External"/><Relationship Id="rId74" Type="http://schemas.openxmlformats.org/officeDocument/2006/relationships/hyperlink" Target="https://academic.oup.com/plphys/article/102/1/21/6066823?login=true" TargetMode="External"/><Relationship Id="rId128" Type="http://schemas.openxmlformats.org/officeDocument/2006/relationships/hyperlink" Target="https://academic.oup.com/plphys/article/82/4/1161/6082098" TargetMode="External"/><Relationship Id="rId149" Type="http://schemas.openxmlformats.org/officeDocument/2006/relationships/hyperlink" Target="https://onlinelibrary.wiley.com/doi/full/10.1111/j.1365-3040.2007.01679.x" TargetMode="External"/><Relationship Id="rId5" Type="http://schemas.openxmlformats.org/officeDocument/2006/relationships/hyperlink" Target="https://link.springer.com/article/10.1007/BF00028796" TargetMode="External"/><Relationship Id="rId95" Type="http://schemas.openxmlformats.org/officeDocument/2006/relationships/hyperlink" Target="https://link.springer.com/article/10.1007/BF00028796" TargetMode="External"/><Relationship Id="rId22" Type="http://schemas.openxmlformats.org/officeDocument/2006/relationships/hyperlink" Target="https://academic.oup.com/plphys/article/76/3/843/6081807?login=true" TargetMode="External"/><Relationship Id="rId27" Type="http://schemas.openxmlformats.org/officeDocument/2006/relationships/hyperlink" Target="https://academic.oup.com/plphys/article/76/3/843/6081807?login=true" TargetMode="External"/><Relationship Id="rId43" Type="http://schemas.openxmlformats.org/officeDocument/2006/relationships/hyperlink" Target="https://academic.oup.com/plphys/article/102/1/21/6066823?login=true" TargetMode="External"/><Relationship Id="rId48" Type="http://schemas.openxmlformats.org/officeDocument/2006/relationships/hyperlink" Target="https://pmc.ncbi.nlm.nih.gov/articles/PMC391434/" TargetMode="External"/><Relationship Id="rId64" Type="http://schemas.openxmlformats.org/officeDocument/2006/relationships/hyperlink" Target="https://www.pnas.org/doi/abs/10.1073/pnas.85.11.3815" TargetMode="External"/><Relationship Id="rId69" Type="http://schemas.openxmlformats.org/officeDocument/2006/relationships/hyperlink" Target="https://academic.oup.com/plphys/article/82/4/1161/6082098" TargetMode="External"/><Relationship Id="rId113" Type="http://schemas.openxmlformats.org/officeDocument/2006/relationships/hyperlink" Target="https://academic.oup.com/plphys/article/83/3/573/6084615" TargetMode="External"/><Relationship Id="rId118" Type="http://schemas.openxmlformats.org/officeDocument/2006/relationships/hyperlink" Target="https://onlinelibrary.wiley.com/doi/full/10.1046/j.1365-3040.2003.00966.x" TargetMode="External"/><Relationship Id="rId134" Type="http://schemas.openxmlformats.org/officeDocument/2006/relationships/hyperlink" Target="https://link.springer.com/article/10.1007/BF00016553" TargetMode="External"/><Relationship Id="rId139" Type="http://schemas.openxmlformats.org/officeDocument/2006/relationships/hyperlink" Target="https://www.publish.csiro.au/fp/PP01212" TargetMode="External"/><Relationship Id="rId80" Type="http://schemas.openxmlformats.org/officeDocument/2006/relationships/hyperlink" Target="https://academic.oup.com/plphys/article/82/4/1161/6082098" TargetMode="External"/><Relationship Id="rId85" Type="http://schemas.openxmlformats.org/officeDocument/2006/relationships/hyperlink" Target="https://academic.oup.com/plphys/article/82/4/1161/6082098" TargetMode="External"/><Relationship Id="rId150" Type="http://schemas.openxmlformats.org/officeDocument/2006/relationships/printerSettings" Target="../printerSettings/printerSettings1.bin"/><Relationship Id="rId12" Type="http://schemas.openxmlformats.org/officeDocument/2006/relationships/hyperlink" Target="https://academic.oup.com/plphys/article/88/1/148/6083307" TargetMode="External"/><Relationship Id="rId17" Type="http://schemas.openxmlformats.org/officeDocument/2006/relationships/hyperlink" Target="https://onlinelibrary.wiley.com/doi/abs/10.1046/j.1365-3040.1997.d01-10.x" TargetMode="External"/><Relationship Id="rId33" Type="http://schemas.openxmlformats.org/officeDocument/2006/relationships/hyperlink" Target="https://academic.oup.com/plphys/article/76/3/843/6081807?login=true" TargetMode="External"/><Relationship Id="rId38" Type="http://schemas.openxmlformats.org/officeDocument/2006/relationships/hyperlink" Target="https://academic.oup.com/plphys/article/102/1/21/6066823?login=true" TargetMode="External"/><Relationship Id="rId59" Type="http://schemas.openxmlformats.org/officeDocument/2006/relationships/hyperlink" Target="https://academic.oup.com/plphys/article/82/4/1161/6082098" TargetMode="External"/><Relationship Id="rId103" Type="http://schemas.openxmlformats.org/officeDocument/2006/relationships/hyperlink" Target="https://link.springer.com/article/10.1007/BF00028796" TargetMode="External"/><Relationship Id="rId108" Type="http://schemas.openxmlformats.org/officeDocument/2006/relationships/hyperlink" Target="https://academic.oup.com/plphys/article/76/3/843/6081807?login=true" TargetMode="External"/><Relationship Id="rId124" Type="http://schemas.openxmlformats.org/officeDocument/2006/relationships/hyperlink" Target="https://link.springer.com/article/10.1007/BF00028796" TargetMode="External"/><Relationship Id="rId129" Type="http://schemas.openxmlformats.org/officeDocument/2006/relationships/hyperlink" Target="https://www.pnas.org/doi/abs/10.1073/pnas.85.11.3815" TargetMode="External"/><Relationship Id="rId54" Type="http://schemas.openxmlformats.org/officeDocument/2006/relationships/hyperlink" Target="https://academic.oup.com/plphys/article/78/4/839/6080296?login=true" TargetMode="External"/><Relationship Id="rId70" Type="http://schemas.openxmlformats.org/officeDocument/2006/relationships/hyperlink" Target="https://academic.oup.com/plphys/article/85/1/66/6084116" TargetMode="External"/><Relationship Id="rId75" Type="http://schemas.openxmlformats.org/officeDocument/2006/relationships/hyperlink" Target="https://academic.oup.com/plphys/article/82/4/1161/6082098" TargetMode="External"/><Relationship Id="rId91" Type="http://schemas.openxmlformats.org/officeDocument/2006/relationships/hyperlink" Target="https://link.springer.com/article/10.1007/BF00028796" TargetMode="External"/><Relationship Id="rId96" Type="http://schemas.openxmlformats.org/officeDocument/2006/relationships/hyperlink" Target="https://link.springer.com/article/10.1007/BF00028796" TargetMode="External"/><Relationship Id="rId140" Type="http://schemas.openxmlformats.org/officeDocument/2006/relationships/hyperlink" Target="https://academic.oup.com/plphys/article/80/3/655/6081381?login=true" TargetMode="External"/><Relationship Id="rId145" Type="http://schemas.openxmlformats.org/officeDocument/2006/relationships/hyperlink" Target="https://aslopubs.onlinelibrary.wiley.com/doi/abs/10.4319/lo.2011.56.4.1330" TargetMode="External"/><Relationship Id="rId1" Type="http://schemas.openxmlformats.org/officeDocument/2006/relationships/hyperlink" Target="https://link-springer-com.ezproxy.lancs.ac.uk/chapter/10.1007/978-94-009-0511-5_527" TargetMode="External"/><Relationship Id="rId6" Type="http://schemas.openxmlformats.org/officeDocument/2006/relationships/hyperlink" Target="https://onlinelibrary.wiley.com/doi/full/10.1046/j.0016-8025.2001.00818.x" TargetMode="External"/><Relationship Id="rId23" Type="http://schemas.openxmlformats.org/officeDocument/2006/relationships/hyperlink" Target="https://academic.oup.com/plphys/article/82/4/1161/6082098?login=true" TargetMode="External"/><Relationship Id="rId28" Type="http://schemas.openxmlformats.org/officeDocument/2006/relationships/hyperlink" Target="https://academic.oup.com/plphys/article/82/4/1161/6082098?login=true" TargetMode="External"/><Relationship Id="rId49" Type="http://schemas.openxmlformats.org/officeDocument/2006/relationships/hyperlink" Target="https://pmc.ncbi.nlm.nih.gov/articles/PMC391434/" TargetMode="External"/><Relationship Id="rId114" Type="http://schemas.openxmlformats.org/officeDocument/2006/relationships/hyperlink" Target="https://www.jstor.org/stable/4272357?seq=5" TargetMode="External"/><Relationship Id="rId119" Type="http://schemas.openxmlformats.org/officeDocument/2006/relationships/hyperlink" Target="https://academic.oup.com/plphys/article/82/4/1161/6082098" TargetMode="External"/><Relationship Id="rId44" Type="http://schemas.openxmlformats.org/officeDocument/2006/relationships/hyperlink" Target="https://academic.oup.com/plphys/article/102/1/21/6066823?login=true" TargetMode="External"/><Relationship Id="rId60" Type="http://schemas.openxmlformats.org/officeDocument/2006/relationships/hyperlink" Target="https://academic.oup.com/plphys/article/76/3/843/6081807?login=true" TargetMode="External"/><Relationship Id="rId65" Type="http://schemas.openxmlformats.org/officeDocument/2006/relationships/hyperlink" Target="https://academic.oup.com/plphys/article/89/1/174/6083669?login=true" TargetMode="External"/><Relationship Id="rId81" Type="http://schemas.openxmlformats.org/officeDocument/2006/relationships/hyperlink" Target="https://academic.oup.com/plphys/article/121/3/849/6098653?login=true" TargetMode="External"/><Relationship Id="rId86" Type="http://schemas.openxmlformats.org/officeDocument/2006/relationships/hyperlink" Target="https://academic.oup.com/plphys/article/82/4/1161/6082098" TargetMode="External"/><Relationship Id="rId130" Type="http://schemas.openxmlformats.org/officeDocument/2006/relationships/hyperlink" Target="https://academic.oup.com/plphys/article/89/3/918/6083422?login=true" TargetMode="External"/><Relationship Id="rId135" Type="http://schemas.openxmlformats.org/officeDocument/2006/relationships/hyperlink" Target="https://pmc.ncbi.nlm.nih.gov/articles/PMC391434/" TargetMode="External"/><Relationship Id="rId151" Type="http://schemas.openxmlformats.org/officeDocument/2006/relationships/vmlDrawing" Target="../drawings/vmlDrawing1.vml"/><Relationship Id="rId13" Type="http://schemas.openxmlformats.org/officeDocument/2006/relationships/hyperlink" Target="https://www.jstor.org/stable/4272357?seq=5" TargetMode="External"/><Relationship Id="rId18" Type="http://schemas.openxmlformats.org/officeDocument/2006/relationships/hyperlink" Target="https://academic.oup.com/plphys/article/92/1/110/6085040?login=true" TargetMode="External"/><Relationship Id="rId39" Type="http://schemas.openxmlformats.org/officeDocument/2006/relationships/hyperlink" Target="https://academic.oup.com/jxb/article/61/9/2355/529159" TargetMode="External"/><Relationship Id="rId109" Type="http://schemas.openxmlformats.org/officeDocument/2006/relationships/hyperlink" Target="https://www.sciencedirect.com/science/article/pii/0304421184901846" TargetMode="External"/><Relationship Id="rId34" Type="http://schemas.openxmlformats.org/officeDocument/2006/relationships/hyperlink" Target="https://academic.oup.com/plphys/article/102/1/21/6066823?login=true" TargetMode="External"/><Relationship Id="rId50" Type="http://schemas.openxmlformats.org/officeDocument/2006/relationships/hyperlink" Target="https://academic.oup.com/plphys/article/102/1/21/6066823?login=true" TargetMode="External"/><Relationship Id="rId55" Type="http://schemas.openxmlformats.org/officeDocument/2006/relationships/hyperlink" Target="https://academic.oup.com/plphys/article/82/4/1161/6082098" TargetMode="External"/><Relationship Id="rId76" Type="http://schemas.openxmlformats.org/officeDocument/2006/relationships/hyperlink" Target="https://link.springer.com/article/10.1007/BF00199753" TargetMode="External"/><Relationship Id="rId97" Type="http://schemas.openxmlformats.org/officeDocument/2006/relationships/hyperlink" Target="https://academic.oup.com/plphys/article/82/4/1161/6082098" TargetMode="External"/><Relationship Id="rId104" Type="http://schemas.openxmlformats.org/officeDocument/2006/relationships/hyperlink" Target="https://academic.oup.com/plphys/article/82/4/1161/6082098" TargetMode="External"/><Relationship Id="rId120" Type="http://schemas.openxmlformats.org/officeDocument/2006/relationships/hyperlink" Target="https://link.springer.com/article/10.1007/BF00028796" TargetMode="External"/><Relationship Id="rId125" Type="http://schemas.openxmlformats.org/officeDocument/2006/relationships/hyperlink" Target="https://link.springer.com/article/10.1007/BF00016553" TargetMode="External"/><Relationship Id="rId141" Type="http://schemas.openxmlformats.org/officeDocument/2006/relationships/hyperlink" Target="https://academic.oup.com/plphys/article/87/1/244/6083206" TargetMode="External"/><Relationship Id="rId146" Type="http://schemas.openxmlformats.org/officeDocument/2006/relationships/hyperlink" Target="https://www.sciencedirect.com/science/article/pii/S0098847204000334" TargetMode="External"/><Relationship Id="rId7" Type="http://schemas.openxmlformats.org/officeDocument/2006/relationships/hyperlink" Target="https://link.springer.com/article/10.1023/A:1005755621305" TargetMode="External"/><Relationship Id="rId71" Type="http://schemas.openxmlformats.org/officeDocument/2006/relationships/hyperlink" Target="https://www.pnas.org/doi/abs/10.1073/pnas.85.11.3815" TargetMode="External"/><Relationship Id="rId92" Type="http://schemas.openxmlformats.org/officeDocument/2006/relationships/hyperlink" Target="https://link.springer.com/article/10.1007/BF00028796" TargetMode="External"/><Relationship Id="rId2" Type="http://schemas.openxmlformats.org/officeDocument/2006/relationships/hyperlink" Target="https://link-springer-com.ezproxy.lancs.ac.uk/chapter/10.1007/978-94-009-0511-5_527" TargetMode="External"/><Relationship Id="rId29" Type="http://schemas.openxmlformats.org/officeDocument/2006/relationships/hyperlink" Target="https://academic.oup.com/plphys/article/102/1/21/6066823?login=true" TargetMode="External"/><Relationship Id="rId24" Type="http://schemas.openxmlformats.org/officeDocument/2006/relationships/hyperlink" Target="https://academic.oup.com/plphys/article/102/1/21/6066823?login=true" TargetMode="External"/><Relationship Id="rId40" Type="http://schemas.openxmlformats.org/officeDocument/2006/relationships/hyperlink" Target="https://academic.oup.com/plphys/article/76/3/843/6081807?login=true" TargetMode="External"/><Relationship Id="rId45" Type="http://schemas.openxmlformats.org/officeDocument/2006/relationships/hyperlink" Target="https://academic.oup.com/plphys/article/76/3/843/6081807?login=true" TargetMode="External"/><Relationship Id="rId66" Type="http://schemas.openxmlformats.org/officeDocument/2006/relationships/hyperlink" Target="https://academic.oup.com/plphys/article/89/3/918/6083422?login=true" TargetMode="External"/><Relationship Id="rId87" Type="http://schemas.openxmlformats.org/officeDocument/2006/relationships/hyperlink" Target="https://www.publish.csiro.au/fp/PP01212" TargetMode="External"/><Relationship Id="rId110" Type="http://schemas.openxmlformats.org/officeDocument/2006/relationships/hyperlink" Target="https://pmc.ncbi.nlm.nih.gov/articles/PMC391434/" TargetMode="External"/><Relationship Id="rId115" Type="http://schemas.openxmlformats.org/officeDocument/2006/relationships/hyperlink" Target="https://link-springer-com.ezproxy.lancs.ac.uk/chapter/10.1007/978-94-009-0511-5_527" TargetMode="External"/><Relationship Id="rId131" Type="http://schemas.openxmlformats.org/officeDocument/2006/relationships/hyperlink" Target="https://academic.oup.com/plphys/article/89/1/174/6083669?login=true" TargetMode="External"/><Relationship Id="rId136" Type="http://schemas.openxmlformats.org/officeDocument/2006/relationships/hyperlink" Target="https://link.springer.com/article/10.1007/BF00028796" TargetMode="External"/><Relationship Id="rId61" Type="http://schemas.openxmlformats.org/officeDocument/2006/relationships/hyperlink" Target="https://academic.oup.com/plphys/article/82/4/1161/6082098" TargetMode="External"/><Relationship Id="rId82" Type="http://schemas.openxmlformats.org/officeDocument/2006/relationships/hyperlink" Target="https://www.publish.csiro.au/fp/PP01212" TargetMode="External"/><Relationship Id="rId152" Type="http://schemas.openxmlformats.org/officeDocument/2006/relationships/comments" Target="../comments1.xml"/><Relationship Id="rId19" Type="http://schemas.openxmlformats.org/officeDocument/2006/relationships/hyperlink" Target="https://www.sciencedirect.com/science/article/pii/096085249190156E?via%3Dihub" TargetMode="External"/><Relationship Id="rId14" Type="http://schemas.openxmlformats.org/officeDocument/2006/relationships/hyperlink" Target="https://link.springer.com/article/10.1007/s11120-007-9142-8" TargetMode="External"/><Relationship Id="rId30" Type="http://schemas.openxmlformats.org/officeDocument/2006/relationships/hyperlink" Target="https://academic.oup.com/jxb/article/61/9/2355/529159" TargetMode="External"/><Relationship Id="rId35" Type="http://schemas.openxmlformats.org/officeDocument/2006/relationships/hyperlink" Target="https://academic.oup.com/plphys/article/102/1/21/6066823?login=true" TargetMode="External"/><Relationship Id="rId56" Type="http://schemas.openxmlformats.org/officeDocument/2006/relationships/hyperlink" Target="https://www.researchgate.net/profile/David-Lawlor-5/publication/292731886_Water_stress_and_the_diurnal_activity_of_ribulose-15-bisphosphate_carboxylase_in_field_grown_Nicotiana_tabacum_genotypes_selected_for_survival_at_low_CO2_concentrations/links/5a04786fa6fdcc1c2f61371c/Water-stress-and-the-diurnal-activity-of-ribulose-1-5-bisphosphate-carboxylase-in-field-grown-Nicotiana-tabacum-genotypes-selected-for-survival-at-low-CO2-concentrations.pdf" TargetMode="External"/><Relationship Id="rId77" Type="http://schemas.openxmlformats.org/officeDocument/2006/relationships/hyperlink" Target="https://academic.oup.com/plphys/article/102/1/21/6066823?login=true" TargetMode="External"/><Relationship Id="rId100" Type="http://schemas.openxmlformats.org/officeDocument/2006/relationships/hyperlink" Target="https://pmc.ncbi.nlm.nih.gov/articles/PMC391434/" TargetMode="External"/><Relationship Id="rId105" Type="http://schemas.openxmlformats.org/officeDocument/2006/relationships/hyperlink" Target="https://academic.oup.com/plphys/article/82/4/1161/6082098" TargetMode="External"/><Relationship Id="rId126" Type="http://schemas.openxmlformats.org/officeDocument/2006/relationships/hyperlink" Target="https://academic.oup.com/plphys/article/81/3/788/6082042?login=true" TargetMode="External"/><Relationship Id="rId147" Type="http://schemas.openxmlformats.org/officeDocument/2006/relationships/hyperlink" Target="https://www.jstor.org/stable/pdf/23690931.pdf" TargetMode="External"/><Relationship Id="rId8" Type="http://schemas.openxmlformats.org/officeDocument/2006/relationships/hyperlink" Target="https://academic.oup.com/plphys/article/102/4/1119/6067040" TargetMode="External"/><Relationship Id="rId51" Type="http://schemas.openxmlformats.org/officeDocument/2006/relationships/hyperlink" Target="https://academic.oup.com/plphys/article/82/4/1161/6082098" TargetMode="External"/><Relationship Id="rId72" Type="http://schemas.openxmlformats.org/officeDocument/2006/relationships/hyperlink" Target="https://academic.oup.com/plphys/article/89/1/174/6083669?login=true" TargetMode="External"/><Relationship Id="rId93" Type="http://schemas.openxmlformats.org/officeDocument/2006/relationships/hyperlink" Target="https://link.springer.com/article/10.1007/BF00028796" TargetMode="External"/><Relationship Id="rId98" Type="http://schemas.openxmlformats.org/officeDocument/2006/relationships/hyperlink" Target="https://academic.oup.com/plphys/article/82/4/1161/6082098" TargetMode="External"/><Relationship Id="rId121" Type="http://schemas.openxmlformats.org/officeDocument/2006/relationships/hyperlink" Target="https://pmc.ncbi.nlm.nih.gov/articles/PMC391434/" TargetMode="External"/><Relationship Id="rId142" Type="http://schemas.openxmlformats.org/officeDocument/2006/relationships/hyperlink" Target="https://academic.oup.com/plphys/article/161/4/1645/6110925?login=true" TargetMode="External"/><Relationship Id="rId3" Type="http://schemas.openxmlformats.org/officeDocument/2006/relationships/hyperlink" Target="https://academic.oup.com/jxb/article/61/9/2355/529159" TargetMode="External"/><Relationship Id="rId25" Type="http://schemas.openxmlformats.org/officeDocument/2006/relationships/hyperlink" Target="https://link-springer-com.ezproxy.lancs.ac.uk/chapter/10.1007/978-94-009-0511-5_527" TargetMode="External"/><Relationship Id="rId46" Type="http://schemas.openxmlformats.org/officeDocument/2006/relationships/hyperlink" Target="https://academic.oup.com/plphys/article/82/4/1161/6082098" TargetMode="External"/><Relationship Id="rId67" Type="http://schemas.openxmlformats.org/officeDocument/2006/relationships/hyperlink" Target="https://academic.oup.com/plphys/article/97/3/1115/6087116" TargetMode="External"/><Relationship Id="rId116" Type="http://schemas.openxmlformats.org/officeDocument/2006/relationships/hyperlink" Target="https://academic.oup.com/plphys/article/94/2/628/6086115?login=true" TargetMode="External"/><Relationship Id="rId137" Type="http://schemas.openxmlformats.org/officeDocument/2006/relationships/hyperlink" Target="https://link.springer.com/article/10.1007/BF00016553" TargetMode="External"/><Relationship Id="rId20" Type="http://schemas.openxmlformats.org/officeDocument/2006/relationships/hyperlink" Target="https://nph.onlinelibrary.wiley.com/doi/abs/10.1046/j.1469-8137.2000.00659.x" TargetMode="External"/><Relationship Id="rId41" Type="http://schemas.openxmlformats.org/officeDocument/2006/relationships/hyperlink" Target="https://pmc.ncbi.nlm.nih.gov/articles/PMC391434/" TargetMode="External"/><Relationship Id="rId62" Type="http://schemas.openxmlformats.org/officeDocument/2006/relationships/hyperlink" Target="https://academic.oup.com/plphys/article/102/1/21/6066823?login=true" TargetMode="External"/><Relationship Id="rId83" Type="http://schemas.openxmlformats.org/officeDocument/2006/relationships/hyperlink" Target="https://pmc.ncbi.nlm.nih.gov/articles/PMC391434/" TargetMode="External"/><Relationship Id="rId88" Type="http://schemas.openxmlformats.org/officeDocument/2006/relationships/hyperlink" Target="https://link.springer.com/article/10.1007/BF00028796" TargetMode="External"/><Relationship Id="rId111" Type="http://schemas.openxmlformats.org/officeDocument/2006/relationships/hyperlink" Target="https://academic.oup.com/plphys/article/82/4/1161/6082098" TargetMode="External"/><Relationship Id="rId132" Type="http://schemas.openxmlformats.org/officeDocument/2006/relationships/hyperlink" Target="https://link.springer.com/article/10.1007/BF00028796" TargetMode="External"/><Relationship Id="rId15" Type="http://schemas.openxmlformats.org/officeDocument/2006/relationships/hyperlink" Target="https://academic.oup.com/plphys/article/76/3/843/6081807?login=true" TargetMode="External"/><Relationship Id="rId36" Type="http://schemas.openxmlformats.org/officeDocument/2006/relationships/hyperlink" Target="https://academic.oup.com/plphys/article/76/3/843/6081807?login=true" TargetMode="External"/><Relationship Id="rId57" Type="http://schemas.openxmlformats.org/officeDocument/2006/relationships/hyperlink" Target="https://onlinelibrary.wiley.com/doi/10.1046/j.1365-3040.1997.d01-85.x" TargetMode="External"/><Relationship Id="rId106" Type="http://schemas.openxmlformats.org/officeDocument/2006/relationships/hyperlink" Target="https://academic.oup.com/plphys/article/102/1/21/6066823?login=true" TargetMode="External"/><Relationship Id="rId127" Type="http://schemas.openxmlformats.org/officeDocument/2006/relationships/hyperlink" Target="https://pmc.ncbi.nlm.nih.gov/articles/PMC391434/" TargetMode="External"/><Relationship Id="rId10" Type="http://schemas.openxmlformats.org/officeDocument/2006/relationships/hyperlink" Target="https://onlinelibrary.wiley.com/doi/abs/10.1111/j.1365-3040.1991.tb01528.x" TargetMode="External"/><Relationship Id="rId31" Type="http://schemas.openxmlformats.org/officeDocument/2006/relationships/hyperlink" Target="https://academic.oup.com/plphys/article/102/1/21/6066823?login=true" TargetMode="External"/><Relationship Id="rId52" Type="http://schemas.openxmlformats.org/officeDocument/2006/relationships/hyperlink" Target="https://academic.oup.com/plphys/article/85/1/66/6084116" TargetMode="External"/><Relationship Id="rId73" Type="http://schemas.openxmlformats.org/officeDocument/2006/relationships/hyperlink" Target="https://academic.oup.com/plphys/article/89/3/918/6083422?login=true" TargetMode="External"/><Relationship Id="rId78" Type="http://schemas.openxmlformats.org/officeDocument/2006/relationships/hyperlink" Target="https://academic.oup.com/plphys/article/82/4/1161/6082098" TargetMode="External"/><Relationship Id="rId94" Type="http://schemas.openxmlformats.org/officeDocument/2006/relationships/hyperlink" Target="https://link.springer.com/article/10.1007/BF00028796" TargetMode="External"/><Relationship Id="rId99" Type="http://schemas.openxmlformats.org/officeDocument/2006/relationships/hyperlink" Target="https://pmc.ncbi.nlm.nih.gov/articles/PMC391434/" TargetMode="External"/><Relationship Id="rId101" Type="http://schemas.openxmlformats.org/officeDocument/2006/relationships/hyperlink" Target="https://pmc.ncbi.nlm.nih.gov/articles/PMC391434/" TargetMode="External"/><Relationship Id="rId122" Type="http://schemas.openxmlformats.org/officeDocument/2006/relationships/hyperlink" Target="https://link.springer.com/article/10.1007/BF00016553" TargetMode="External"/><Relationship Id="rId143" Type="http://schemas.openxmlformats.org/officeDocument/2006/relationships/hyperlink" Target="https://academic.oup.com/plphys/article/76/3/843/6081807?login=true" TargetMode="External"/><Relationship Id="rId148" Type="http://schemas.openxmlformats.org/officeDocument/2006/relationships/hyperlink" Target="https://www.vut.cz/www_base/zav_prace_soubor_verejne.php?file_id=14570" TargetMode="External"/><Relationship Id="rId4" Type="http://schemas.openxmlformats.org/officeDocument/2006/relationships/hyperlink" Target="https://academic.oup.com/plphys/article/85/1/66/6084116" TargetMode="External"/><Relationship Id="rId9" Type="http://schemas.openxmlformats.org/officeDocument/2006/relationships/hyperlink" Target="https://link.springer.com/article/10.1007/BF00028796" TargetMode="External"/><Relationship Id="rId26" Type="http://schemas.openxmlformats.org/officeDocument/2006/relationships/hyperlink" Target="https://academic.oup.com/plphys/article/82/4/1161/6082098?login=true" TargetMode="External"/><Relationship Id="rId47" Type="http://schemas.openxmlformats.org/officeDocument/2006/relationships/hyperlink" Target="https://academic.oup.com/plphys/article/82/4/1161/6082098" TargetMode="External"/><Relationship Id="rId68" Type="http://schemas.openxmlformats.org/officeDocument/2006/relationships/hyperlink" Target="https://pmc.ncbi.nlm.nih.gov/articles/PMC391434/" TargetMode="External"/><Relationship Id="rId89" Type="http://schemas.openxmlformats.org/officeDocument/2006/relationships/hyperlink" Target="https://link.springer.com/article/10.1007/s11738-004-0002-2" TargetMode="External"/><Relationship Id="rId112" Type="http://schemas.openxmlformats.org/officeDocument/2006/relationships/hyperlink" Target="https://link.springer.com/chapter/10.1007/978-94-017-0516-5_83" TargetMode="External"/><Relationship Id="rId133" Type="http://schemas.openxmlformats.org/officeDocument/2006/relationships/hyperlink" Target="https://link.springer.com/article/10.1007/BF00199753" TargetMode="External"/><Relationship Id="rId16" Type="http://schemas.openxmlformats.org/officeDocument/2006/relationships/hyperlink" Target="https://onlinelibrary.wiley.com/doi/abs/10.1046/j.1365-3040.1997.d01-10.x" TargetMode="External"/><Relationship Id="rId37" Type="http://schemas.openxmlformats.org/officeDocument/2006/relationships/hyperlink" Target="https://academic.oup.com/plphys/article/76/3/843/6081807?login=true" TargetMode="External"/><Relationship Id="rId58" Type="http://schemas.openxmlformats.org/officeDocument/2006/relationships/hyperlink" Target="https://academic.oup.com/plphys/article/161/4/1645/6110925?login=true" TargetMode="External"/><Relationship Id="rId79" Type="http://schemas.openxmlformats.org/officeDocument/2006/relationships/hyperlink" Target="https://academic.oup.com/plphys/article/102/1/21/6066823?login=true" TargetMode="External"/><Relationship Id="rId102" Type="http://schemas.openxmlformats.org/officeDocument/2006/relationships/hyperlink" Target="https://academic.oup.com/plphys/article/82/4/1161/6082098" TargetMode="External"/><Relationship Id="rId123" Type="http://schemas.openxmlformats.org/officeDocument/2006/relationships/hyperlink" Target="https://pmc.ncbi.nlm.nih.gov/articles/PMC391434/" TargetMode="External"/><Relationship Id="rId144" Type="http://schemas.openxmlformats.org/officeDocument/2006/relationships/hyperlink" Target="https://academic.oup.com/plphys/article/96/1/208/6086762" TargetMode="External"/><Relationship Id="rId90" Type="http://schemas.openxmlformats.org/officeDocument/2006/relationships/hyperlink" Target="https://link.springer.com/article/10.1007/BF0002879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72EC-D8CB-4D6F-B25D-13B8CA3ADC88}">
  <dimension ref="A1:AN334"/>
  <sheetViews>
    <sheetView topLeftCell="N1" workbookViewId="0">
      <pane ySplit="1" topLeftCell="A325" activePane="bottomLeft" state="frozen"/>
      <selection pane="bottomLeft" activeCell="A334" sqref="A334"/>
    </sheetView>
  </sheetViews>
  <sheetFormatPr defaultRowHeight="15" customHeight="1"/>
  <cols>
    <col min="1" max="1" width="26.140625" bestFit="1" customWidth="1"/>
    <col min="2" max="2" width="6.5703125" customWidth="1"/>
    <col min="3" max="3" width="3.7109375" customWidth="1"/>
    <col min="4" max="5" width="3.140625" customWidth="1"/>
    <col min="6" max="6" width="3.28515625" customWidth="1"/>
    <col min="7" max="7" width="4.140625" customWidth="1"/>
    <col min="8" max="8" width="3.42578125" customWidth="1"/>
    <col min="9" max="9" width="14.28515625" customWidth="1"/>
    <col min="10" max="10" width="16.7109375" bestFit="1" customWidth="1"/>
    <col min="11" max="11" width="19" customWidth="1"/>
    <col min="12" max="12" width="15.28515625" bestFit="1" customWidth="1"/>
    <col min="13" max="13" width="11.140625" customWidth="1"/>
    <col min="14" max="14" width="23.5703125" bestFit="1" customWidth="1"/>
    <col min="15" max="15" width="15.5703125" customWidth="1"/>
    <col min="17" max="17" width="9.28515625" bestFit="1" customWidth="1"/>
    <col min="18" max="18" width="10.28515625" style="25" customWidth="1"/>
    <col min="19" max="19" width="9.140625" customWidth="1"/>
    <col min="20" max="20" width="138" customWidth="1"/>
    <col min="21" max="22" width="25.5703125" customWidth="1"/>
    <col min="23" max="24" width="8.7109375" style="25"/>
    <col min="26" max="30" width="8.7109375" style="25"/>
    <col min="31" max="31" width="8.7109375" style="29"/>
    <col min="32" max="36" width="8.7109375" style="25"/>
    <col min="37" max="37" width="8.7109375" style="29"/>
    <col min="39" max="39" width="11.7109375" customWidth="1"/>
  </cols>
  <sheetData>
    <row r="1" spans="1:40" ht="14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4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4" t="s">
        <v>22</v>
      </c>
      <c r="X1" s="24" t="s">
        <v>23</v>
      </c>
      <c r="Y1" s="23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8" t="s">
        <v>30</v>
      </c>
      <c r="AF1" s="24" t="s">
        <v>31</v>
      </c>
      <c r="AG1" s="24" t="s">
        <v>32</v>
      </c>
      <c r="AH1" s="24" t="s">
        <v>33</v>
      </c>
      <c r="AI1" s="24" t="s">
        <v>34</v>
      </c>
      <c r="AJ1" s="24" t="s">
        <v>35</v>
      </c>
      <c r="AK1" s="28" t="s">
        <v>36</v>
      </c>
      <c r="AL1" s="23" t="s">
        <v>37</v>
      </c>
      <c r="AM1" s="23" t="s">
        <v>38</v>
      </c>
      <c r="AN1" s="23" t="s">
        <v>39</v>
      </c>
    </row>
    <row r="2" spans="1:40" ht="14.45">
      <c r="A2" s="4" t="s">
        <v>40</v>
      </c>
      <c r="B2">
        <v>1997</v>
      </c>
      <c r="C2">
        <v>-1</v>
      </c>
      <c r="D2">
        <v>1</v>
      </c>
      <c r="E2">
        <v>0</v>
      </c>
      <c r="F2">
        <v>0</v>
      </c>
      <c r="G2">
        <v>1</v>
      </c>
      <c r="H2">
        <v>0</v>
      </c>
      <c r="I2" t="s">
        <v>41</v>
      </c>
      <c r="J2" t="s">
        <v>42</v>
      </c>
      <c r="K2" t="s">
        <v>43</v>
      </c>
      <c r="L2" t="s">
        <v>43</v>
      </c>
      <c r="M2" t="str">
        <f t="shared" ref="M2:M65" si="0">LEFT(N2,FIND(" ",N2)-1)</f>
        <v>Dunaliella</v>
      </c>
      <c r="N2" s="7" t="s">
        <v>44</v>
      </c>
      <c r="O2" t="s">
        <v>43</v>
      </c>
      <c r="P2" t="str">
        <f t="shared" ref="P2:P65" si="1">IF(Q2&lt;0.17,"Low",IF(Q2&lt;0.48,"Moderate",IF(Q2&lt;0.77,"High", "Very High")))</f>
        <v>High</v>
      </c>
      <c r="Q2">
        <f>1-(1.22/2.46)</f>
        <v>0.50406504065040658</v>
      </c>
      <c r="R2" s="25">
        <v>600</v>
      </c>
      <c r="S2">
        <v>0</v>
      </c>
      <c r="T2" s="5" t="s">
        <v>45</v>
      </c>
      <c r="U2" s="1" t="s">
        <v>46</v>
      </c>
      <c r="V2" s="1" t="s">
        <v>47</v>
      </c>
      <c r="W2" s="25">
        <v>10</v>
      </c>
      <c r="X2" s="25" t="s">
        <v>43</v>
      </c>
      <c r="Y2" t="s">
        <v>48</v>
      </c>
      <c r="Z2" s="25">
        <v>50</v>
      </c>
      <c r="AA2" s="25">
        <v>20</v>
      </c>
      <c r="AB2" s="25">
        <v>10</v>
      </c>
      <c r="AC2" s="25">
        <v>0</v>
      </c>
      <c r="AD2" s="25">
        <v>1</v>
      </c>
      <c r="AE2" s="29">
        <v>2.5</v>
      </c>
      <c r="AF2" s="25">
        <v>20</v>
      </c>
      <c r="AG2" s="25">
        <v>0</v>
      </c>
      <c r="AH2" s="25">
        <v>0</v>
      </c>
      <c r="AI2" s="25">
        <v>0</v>
      </c>
      <c r="AJ2" s="25">
        <v>0</v>
      </c>
      <c r="AK2" s="29">
        <v>8.1999999999999993</v>
      </c>
      <c r="AL2">
        <v>20</v>
      </c>
      <c r="AM2" t="s">
        <v>49</v>
      </c>
      <c r="AN2" t="s">
        <v>50</v>
      </c>
    </row>
    <row r="3" spans="1:40" ht="14.45">
      <c r="A3" s="4" t="s">
        <v>51</v>
      </c>
      <c r="B3">
        <v>1991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 t="s">
        <v>52</v>
      </c>
      <c r="J3" t="s">
        <v>53</v>
      </c>
      <c r="K3" t="s">
        <v>43</v>
      </c>
      <c r="L3" t="s">
        <v>43</v>
      </c>
      <c r="M3" t="str">
        <f t="shared" si="0"/>
        <v>Scenedesmus</v>
      </c>
      <c r="N3" s="7" t="s">
        <v>54</v>
      </c>
      <c r="O3" t="s">
        <v>43</v>
      </c>
      <c r="P3" t="str">
        <f t="shared" si="1"/>
        <v>High</v>
      </c>
      <c r="Q3">
        <f>1-(151.801/487.058)</f>
        <v>0.68833075321624948</v>
      </c>
      <c r="R3" s="25">
        <v>700</v>
      </c>
      <c r="S3">
        <v>87.5</v>
      </c>
      <c r="T3" s="5" t="s">
        <v>55</v>
      </c>
      <c r="U3" s="1" t="s">
        <v>56</v>
      </c>
      <c r="V3" s="1" t="s">
        <v>47</v>
      </c>
      <c r="W3" s="25">
        <v>15</v>
      </c>
      <c r="X3" s="25" t="s">
        <v>43</v>
      </c>
      <c r="Y3" t="s">
        <v>48</v>
      </c>
      <c r="Z3" s="25">
        <v>100</v>
      </c>
      <c r="AA3" s="25">
        <v>20</v>
      </c>
      <c r="AB3" s="25">
        <v>5</v>
      </c>
      <c r="AC3" s="25">
        <v>0</v>
      </c>
      <c r="AD3" s="25">
        <v>0.45</v>
      </c>
      <c r="AE3" s="29">
        <v>0.4</v>
      </c>
      <c r="AF3" s="25">
        <v>10</v>
      </c>
      <c r="AG3" s="25">
        <v>0</v>
      </c>
      <c r="AH3" s="25">
        <v>0</v>
      </c>
      <c r="AI3" s="25">
        <v>0</v>
      </c>
      <c r="AJ3" s="25">
        <v>0</v>
      </c>
      <c r="AK3" s="29">
        <v>8</v>
      </c>
      <c r="AL3">
        <v>20</v>
      </c>
      <c r="AM3" t="s">
        <v>57</v>
      </c>
      <c r="AN3" t="s">
        <v>58</v>
      </c>
    </row>
    <row r="4" spans="1:40" ht="14.45">
      <c r="A4" s="4" t="s">
        <v>59</v>
      </c>
      <c r="B4">
        <v>2007</v>
      </c>
      <c r="C4">
        <v>5</v>
      </c>
      <c r="D4">
        <v>3</v>
      </c>
      <c r="E4">
        <v>1</v>
      </c>
      <c r="F4">
        <v>1</v>
      </c>
      <c r="G4">
        <v>1</v>
      </c>
      <c r="H4">
        <v>0</v>
      </c>
      <c r="I4" t="s">
        <v>60</v>
      </c>
      <c r="J4" t="s">
        <v>61</v>
      </c>
      <c r="K4" t="s">
        <v>43</v>
      </c>
      <c r="L4" t="s">
        <v>43</v>
      </c>
      <c r="M4" t="str">
        <f t="shared" si="0"/>
        <v>Nuphar</v>
      </c>
      <c r="N4" s="7" t="s">
        <v>62</v>
      </c>
      <c r="O4" t="s">
        <v>43</v>
      </c>
      <c r="P4" t="str">
        <f t="shared" si="1"/>
        <v>Very High</v>
      </c>
      <c r="Q4">
        <f>1-(4.032/24.839)</f>
        <v>0.83767462458231012</v>
      </c>
      <c r="R4" s="25">
        <v>2000</v>
      </c>
      <c r="S4">
        <v>0</v>
      </c>
      <c r="T4" s="5" t="s">
        <v>63</v>
      </c>
      <c r="U4" s="1" t="s">
        <v>64</v>
      </c>
      <c r="V4" s="1" t="s">
        <v>47</v>
      </c>
      <c r="W4" s="25">
        <v>30</v>
      </c>
      <c r="X4" s="25" t="s">
        <v>43</v>
      </c>
      <c r="Y4" t="s">
        <v>65</v>
      </c>
      <c r="Z4" s="25">
        <v>50</v>
      </c>
      <c r="AA4" s="25">
        <v>5</v>
      </c>
      <c r="AB4" s="25">
        <v>5</v>
      </c>
      <c r="AC4" s="25">
        <v>0</v>
      </c>
      <c r="AD4" s="25">
        <v>0.83</v>
      </c>
      <c r="AE4" s="29">
        <v>0.5</v>
      </c>
      <c r="AF4" s="31">
        <v>0.438</v>
      </c>
      <c r="AG4" s="25">
        <v>0</v>
      </c>
      <c r="AH4" s="25">
        <v>0</v>
      </c>
      <c r="AI4" s="25">
        <v>0</v>
      </c>
      <c r="AJ4" s="25">
        <v>0</v>
      </c>
      <c r="AK4" s="29">
        <v>7.8</v>
      </c>
      <c r="AL4">
        <v>25</v>
      </c>
      <c r="AM4" t="s">
        <v>66</v>
      </c>
      <c r="AN4" t="s">
        <v>67</v>
      </c>
    </row>
    <row r="5" spans="1:40" ht="14.45">
      <c r="A5" s="4" t="s">
        <v>68</v>
      </c>
      <c r="B5">
        <v>1984</v>
      </c>
      <c r="C5">
        <v>13</v>
      </c>
      <c r="D5">
        <v>11</v>
      </c>
      <c r="E5">
        <v>4</v>
      </c>
      <c r="F5">
        <v>0</v>
      </c>
      <c r="G5">
        <v>1</v>
      </c>
      <c r="H5">
        <v>0</v>
      </c>
      <c r="I5" t="s">
        <v>69</v>
      </c>
      <c r="J5" t="s">
        <v>70</v>
      </c>
      <c r="K5" t="s">
        <v>71</v>
      </c>
      <c r="L5" t="s">
        <v>43</v>
      </c>
      <c r="M5" t="str">
        <f t="shared" si="0"/>
        <v>Hydrilla</v>
      </c>
      <c r="N5" s="7" t="s">
        <v>72</v>
      </c>
      <c r="O5" t="s">
        <v>73</v>
      </c>
      <c r="P5" t="str">
        <f t="shared" si="1"/>
        <v>Low</v>
      </c>
      <c r="Q5">
        <v>-7.2335025380710696E-2</v>
      </c>
      <c r="R5" s="26">
        <v>800</v>
      </c>
      <c r="S5" s="6">
        <v>0</v>
      </c>
      <c r="T5" s="5" t="s">
        <v>74</v>
      </c>
      <c r="U5" t="s">
        <v>75</v>
      </c>
      <c r="V5" s="1" t="s">
        <v>47</v>
      </c>
      <c r="W5" s="25" t="s">
        <v>43</v>
      </c>
      <c r="X5" s="25">
        <v>0.75</v>
      </c>
      <c r="Y5" t="s">
        <v>76</v>
      </c>
      <c r="Z5" s="25">
        <v>50</v>
      </c>
      <c r="AA5" s="25">
        <v>10</v>
      </c>
      <c r="AB5" s="25">
        <v>5</v>
      </c>
      <c r="AC5" s="25">
        <v>0</v>
      </c>
      <c r="AD5" s="25">
        <v>0.1</v>
      </c>
      <c r="AE5" s="29">
        <v>0.5</v>
      </c>
      <c r="AF5" s="25">
        <v>20</v>
      </c>
      <c r="AG5" s="25">
        <v>0</v>
      </c>
      <c r="AH5" s="25">
        <v>0</v>
      </c>
      <c r="AI5" s="25">
        <v>0</v>
      </c>
      <c r="AJ5" s="25">
        <v>0</v>
      </c>
      <c r="AK5" s="29">
        <v>8.5</v>
      </c>
      <c r="AL5">
        <v>30</v>
      </c>
      <c r="AM5" t="s">
        <v>43</v>
      </c>
      <c r="AN5" t="s">
        <v>67</v>
      </c>
    </row>
    <row r="6" spans="1:40">
      <c r="A6" s="4" t="s">
        <v>77</v>
      </c>
      <c r="B6">
        <v>1988</v>
      </c>
      <c r="C6">
        <v>13</v>
      </c>
      <c r="D6">
        <v>13</v>
      </c>
      <c r="E6">
        <v>8</v>
      </c>
      <c r="F6">
        <v>0</v>
      </c>
      <c r="G6">
        <v>22</v>
      </c>
      <c r="H6">
        <v>0</v>
      </c>
      <c r="I6" t="s">
        <v>69</v>
      </c>
      <c r="J6" t="s">
        <v>78</v>
      </c>
      <c r="K6" t="s">
        <v>79</v>
      </c>
      <c r="L6" t="s">
        <v>80</v>
      </c>
      <c r="M6" t="str">
        <f t="shared" si="0"/>
        <v>Alocasia</v>
      </c>
      <c r="N6" s="7" t="s">
        <v>81</v>
      </c>
      <c r="O6" t="s">
        <v>82</v>
      </c>
      <c r="P6" t="str">
        <f t="shared" si="1"/>
        <v>Moderate</v>
      </c>
      <c r="Q6">
        <f>1-(12.37/20.245)</f>
        <v>0.38898493455174121</v>
      </c>
      <c r="R6" s="25">
        <v>500</v>
      </c>
      <c r="S6">
        <v>10</v>
      </c>
      <c r="T6" s="5" t="s">
        <v>83</v>
      </c>
      <c r="U6" s="1" t="s">
        <v>84</v>
      </c>
      <c r="V6" s="1" t="s">
        <v>47</v>
      </c>
      <c r="W6" s="25">
        <v>10</v>
      </c>
      <c r="X6" s="25">
        <v>0.5</v>
      </c>
      <c r="Y6" t="s">
        <v>48</v>
      </c>
      <c r="Z6" s="25">
        <v>100</v>
      </c>
      <c r="AA6" s="25">
        <v>20</v>
      </c>
      <c r="AB6" s="25">
        <v>1</v>
      </c>
      <c r="AC6" s="25">
        <v>0</v>
      </c>
      <c r="AD6" s="25">
        <v>0.1</v>
      </c>
      <c r="AE6" s="29">
        <v>1.5</v>
      </c>
      <c r="AF6" s="25">
        <v>15</v>
      </c>
      <c r="AG6" s="25">
        <v>0</v>
      </c>
      <c r="AH6" s="25">
        <v>0</v>
      </c>
      <c r="AI6" s="25">
        <v>0</v>
      </c>
      <c r="AJ6" s="25">
        <v>0</v>
      </c>
      <c r="AK6" s="29">
        <v>8.1999999999999993</v>
      </c>
      <c r="AL6">
        <v>25</v>
      </c>
      <c r="AM6" t="s">
        <v>43</v>
      </c>
      <c r="AN6" t="s">
        <v>67</v>
      </c>
    </row>
    <row r="7" spans="1:40" ht="14.45">
      <c r="A7" s="4" t="s">
        <v>85</v>
      </c>
      <c r="B7">
        <v>1989</v>
      </c>
      <c r="C7">
        <v>13</v>
      </c>
      <c r="D7">
        <v>13</v>
      </c>
      <c r="E7">
        <v>8</v>
      </c>
      <c r="F7">
        <v>0</v>
      </c>
      <c r="G7">
        <v>22</v>
      </c>
      <c r="H7">
        <v>0</v>
      </c>
      <c r="I7" t="s">
        <v>69</v>
      </c>
      <c r="J7" t="s">
        <v>78</v>
      </c>
      <c r="K7" t="s">
        <v>79</v>
      </c>
      <c r="L7" t="s">
        <v>80</v>
      </c>
      <c r="M7" t="str">
        <f t="shared" si="0"/>
        <v>Alocasia</v>
      </c>
      <c r="N7" s="7" t="s">
        <v>81</v>
      </c>
      <c r="O7" t="s">
        <v>86</v>
      </c>
      <c r="P7" t="str">
        <f t="shared" si="1"/>
        <v>Moderate</v>
      </c>
      <c r="Q7">
        <f>1-(7.005/11.479)</f>
        <v>0.3897552051572436</v>
      </c>
      <c r="R7" s="25">
        <v>500</v>
      </c>
      <c r="S7">
        <v>0</v>
      </c>
      <c r="T7" s="5" t="s">
        <v>87</v>
      </c>
      <c r="U7" s="1" t="s">
        <v>88</v>
      </c>
      <c r="V7" s="1" t="s">
        <v>47</v>
      </c>
      <c r="W7" s="25">
        <v>10</v>
      </c>
      <c r="X7" s="25">
        <v>0.5</v>
      </c>
      <c r="Y7" t="s">
        <v>48</v>
      </c>
      <c r="Z7" s="25">
        <v>100</v>
      </c>
      <c r="AA7" s="25">
        <v>10</v>
      </c>
      <c r="AB7" s="25">
        <v>1</v>
      </c>
      <c r="AC7" s="25">
        <v>0</v>
      </c>
      <c r="AD7" s="25">
        <v>0.1</v>
      </c>
      <c r="AE7" s="29">
        <v>0.5</v>
      </c>
      <c r="AF7" s="25">
        <v>20</v>
      </c>
      <c r="AG7" s="25">
        <v>0</v>
      </c>
      <c r="AH7" s="25">
        <v>0</v>
      </c>
      <c r="AI7" s="25">
        <v>0</v>
      </c>
      <c r="AJ7" s="25">
        <v>0</v>
      </c>
      <c r="AK7" s="29">
        <v>7.8</v>
      </c>
      <c r="AL7">
        <v>25</v>
      </c>
      <c r="AM7" t="s">
        <v>43</v>
      </c>
      <c r="AN7" t="s">
        <v>89</v>
      </c>
    </row>
    <row r="8" spans="1:40" ht="14.45">
      <c r="A8" s="4" t="s">
        <v>90</v>
      </c>
      <c r="B8">
        <v>2008</v>
      </c>
      <c r="C8">
        <v>14</v>
      </c>
      <c r="D8">
        <v>1</v>
      </c>
      <c r="E8">
        <v>5</v>
      </c>
      <c r="F8">
        <v>0</v>
      </c>
      <c r="G8">
        <v>111</v>
      </c>
      <c r="H8">
        <v>0</v>
      </c>
      <c r="I8" t="s">
        <v>91</v>
      </c>
      <c r="J8" t="s">
        <v>92</v>
      </c>
      <c r="K8" t="s">
        <v>93</v>
      </c>
      <c r="L8" t="s">
        <v>94</v>
      </c>
      <c r="M8" t="str">
        <f t="shared" si="0"/>
        <v>Arachnis</v>
      </c>
      <c r="N8" s="7" t="s">
        <v>95</v>
      </c>
      <c r="O8" t="s">
        <v>96</v>
      </c>
      <c r="P8" t="str">
        <f t="shared" si="1"/>
        <v>Low</v>
      </c>
      <c r="Q8">
        <f>1-(91.366/109.636)</f>
        <v>0.16664234375570064</v>
      </c>
      <c r="R8" s="25">
        <v>200</v>
      </c>
      <c r="S8">
        <v>0</v>
      </c>
      <c r="T8" s="5" t="s">
        <v>97</v>
      </c>
      <c r="U8" s="1" t="s">
        <v>98</v>
      </c>
      <c r="V8" s="1" t="s">
        <v>47</v>
      </c>
      <c r="W8" s="25" t="s">
        <v>43</v>
      </c>
      <c r="X8" s="25" t="s">
        <v>43</v>
      </c>
      <c r="Y8" t="s">
        <v>48</v>
      </c>
      <c r="Z8" s="25">
        <v>60</v>
      </c>
      <c r="AA8" s="25">
        <v>15</v>
      </c>
      <c r="AB8" s="25">
        <v>6</v>
      </c>
      <c r="AC8" s="25">
        <v>4</v>
      </c>
      <c r="AD8" s="25">
        <v>0</v>
      </c>
      <c r="AE8" s="29">
        <v>0.5</v>
      </c>
      <c r="AF8" s="25">
        <v>20</v>
      </c>
      <c r="AG8" s="25">
        <v>0</v>
      </c>
      <c r="AH8" s="25">
        <v>0</v>
      </c>
      <c r="AI8" s="25">
        <v>0</v>
      </c>
      <c r="AJ8" s="25">
        <v>0</v>
      </c>
      <c r="AK8" s="29">
        <v>8</v>
      </c>
      <c r="AL8">
        <v>25</v>
      </c>
      <c r="AM8" t="s">
        <v>99</v>
      </c>
      <c r="AN8" t="s">
        <v>67</v>
      </c>
    </row>
    <row r="9" spans="1:40">
      <c r="A9" s="4" t="s">
        <v>68</v>
      </c>
      <c r="B9">
        <v>1984</v>
      </c>
      <c r="C9">
        <v>20</v>
      </c>
      <c r="D9">
        <v>2</v>
      </c>
      <c r="E9">
        <v>8</v>
      </c>
      <c r="F9">
        <v>0</v>
      </c>
      <c r="G9">
        <v>1</v>
      </c>
      <c r="H9">
        <v>0</v>
      </c>
      <c r="I9" t="s">
        <v>100</v>
      </c>
      <c r="J9" t="s">
        <v>101</v>
      </c>
      <c r="K9" t="s">
        <v>102</v>
      </c>
      <c r="L9" t="s">
        <v>43</v>
      </c>
      <c r="M9" t="str">
        <f t="shared" si="0"/>
        <v>Bromelia</v>
      </c>
      <c r="N9" s="7" t="s">
        <v>103</v>
      </c>
      <c r="O9" t="s">
        <v>43</v>
      </c>
      <c r="P9" t="str">
        <f t="shared" si="1"/>
        <v>Very High</v>
      </c>
      <c r="Q9">
        <v>0.96465222348916768</v>
      </c>
      <c r="R9" s="27">
        <v>1000</v>
      </c>
      <c r="S9" s="6">
        <v>0</v>
      </c>
      <c r="T9" s="5" t="s">
        <v>74</v>
      </c>
      <c r="U9" t="s">
        <v>75</v>
      </c>
      <c r="V9" s="1" t="s">
        <v>47</v>
      </c>
      <c r="W9" s="25" t="s">
        <v>43</v>
      </c>
      <c r="X9" s="25">
        <v>0.75</v>
      </c>
      <c r="Y9" t="s">
        <v>76</v>
      </c>
      <c r="Z9" s="25">
        <v>50</v>
      </c>
      <c r="AA9" s="25">
        <v>10</v>
      </c>
      <c r="AB9" s="25">
        <v>5</v>
      </c>
      <c r="AC9" s="25">
        <v>0</v>
      </c>
      <c r="AD9" s="25">
        <v>0.1</v>
      </c>
      <c r="AE9" s="29">
        <v>0.5</v>
      </c>
      <c r="AF9" s="25">
        <v>20</v>
      </c>
      <c r="AG9" s="25">
        <v>0</v>
      </c>
      <c r="AH9" s="25">
        <v>0</v>
      </c>
      <c r="AI9" s="25">
        <v>0</v>
      </c>
      <c r="AJ9" s="25">
        <v>0</v>
      </c>
      <c r="AK9" s="29">
        <v>8.5</v>
      </c>
      <c r="AL9">
        <v>30</v>
      </c>
      <c r="AM9" t="s">
        <v>43</v>
      </c>
      <c r="AN9" t="s">
        <v>67</v>
      </c>
    </row>
    <row r="10" spans="1:40">
      <c r="A10" s="4" t="s">
        <v>68</v>
      </c>
      <c r="B10">
        <v>1984</v>
      </c>
      <c r="C10">
        <v>20</v>
      </c>
      <c r="D10">
        <v>2</v>
      </c>
      <c r="E10">
        <v>8</v>
      </c>
      <c r="F10">
        <v>0</v>
      </c>
      <c r="G10">
        <v>4</v>
      </c>
      <c r="H10">
        <v>0</v>
      </c>
      <c r="I10" t="s">
        <v>100</v>
      </c>
      <c r="J10" t="s">
        <v>101</v>
      </c>
      <c r="K10" t="s">
        <v>102</v>
      </c>
      <c r="L10" t="s">
        <v>43</v>
      </c>
      <c r="M10" t="str">
        <f t="shared" si="0"/>
        <v>Ananas</v>
      </c>
      <c r="N10" s="7" t="s">
        <v>104</v>
      </c>
      <c r="O10" t="s">
        <v>43</v>
      </c>
      <c r="P10" t="str">
        <f t="shared" si="1"/>
        <v>Very High</v>
      </c>
      <c r="Q10">
        <v>0.97122302158273377</v>
      </c>
      <c r="R10" s="27">
        <v>1000</v>
      </c>
      <c r="S10" s="6">
        <v>0</v>
      </c>
      <c r="T10" s="5" t="s">
        <v>74</v>
      </c>
      <c r="U10" t="s">
        <v>75</v>
      </c>
      <c r="V10" s="1" t="s">
        <v>47</v>
      </c>
      <c r="W10" s="25" t="s">
        <v>43</v>
      </c>
      <c r="X10" s="25">
        <v>0.75</v>
      </c>
      <c r="Y10" t="s">
        <v>76</v>
      </c>
      <c r="Z10" s="25">
        <v>50</v>
      </c>
      <c r="AA10" s="25">
        <v>10</v>
      </c>
      <c r="AB10" s="25">
        <v>5</v>
      </c>
      <c r="AC10" s="25">
        <v>0</v>
      </c>
      <c r="AD10" s="25">
        <v>0.1</v>
      </c>
      <c r="AE10" s="29">
        <v>0.5</v>
      </c>
      <c r="AF10" s="25">
        <v>20</v>
      </c>
      <c r="AG10" s="25">
        <v>0</v>
      </c>
      <c r="AH10" s="25">
        <v>0</v>
      </c>
      <c r="AI10" s="25">
        <v>0</v>
      </c>
      <c r="AJ10" s="25">
        <v>0</v>
      </c>
      <c r="AK10" s="29">
        <v>8.5</v>
      </c>
      <c r="AL10">
        <v>30</v>
      </c>
      <c r="AM10" t="s">
        <v>43</v>
      </c>
      <c r="AN10" t="s">
        <v>67</v>
      </c>
    </row>
    <row r="11" spans="1:40">
      <c r="A11" s="4" t="s">
        <v>105</v>
      </c>
      <c r="B11">
        <v>1986</v>
      </c>
      <c r="C11">
        <v>20</v>
      </c>
      <c r="D11">
        <v>4</v>
      </c>
      <c r="E11">
        <v>2</v>
      </c>
      <c r="F11">
        <v>22</v>
      </c>
      <c r="G11">
        <v>1</v>
      </c>
      <c r="H11">
        <v>0</v>
      </c>
      <c r="I11" t="s">
        <v>100</v>
      </c>
      <c r="J11" t="s">
        <v>106</v>
      </c>
      <c r="K11" t="s">
        <v>107</v>
      </c>
      <c r="L11" t="s">
        <v>108</v>
      </c>
      <c r="M11" t="str">
        <f t="shared" si="0"/>
        <v>Cyperus</v>
      </c>
      <c r="N11" s="7" t="s">
        <v>109</v>
      </c>
      <c r="O11" t="s">
        <v>43</v>
      </c>
      <c r="P11" t="str">
        <f t="shared" si="1"/>
        <v>Low</v>
      </c>
      <c r="Q11">
        <v>-5.0000000000000044E-2</v>
      </c>
      <c r="R11" s="25">
        <v>1000</v>
      </c>
      <c r="S11">
        <v>10</v>
      </c>
      <c r="T11" s="5" t="s">
        <v>110</v>
      </c>
      <c r="U11" s="1" t="s">
        <v>111</v>
      </c>
      <c r="V11" s="1" t="s">
        <v>47</v>
      </c>
      <c r="W11" s="25">
        <v>10</v>
      </c>
      <c r="X11" s="25">
        <v>0.5</v>
      </c>
      <c r="Y11" t="s">
        <v>48</v>
      </c>
      <c r="Z11" s="25">
        <v>100</v>
      </c>
      <c r="AA11" s="25">
        <v>5</v>
      </c>
      <c r="AB11" s="25">
        <v>0</v>
      </c>
      <c r="AC11" s="25">
        <v>5</v>
      </c>
      <c r="AD11" s="25">
        <v>0</v>
      </c>
      <c r="AE11" s="29">
        <v>0.66</v>
      </c>
      <c r="AF11" s="25">
        <v>10</v>
      </c>
      <c r="AG11" s="25">
        <v>0</v>
      </c>
      <c r="AH11" s="25">
        <v>0</v>
      </c>
      <c r="AI11" s="25">
        <v>0</v>
      </c>
      <c r="AJ11" s="25">
        <v>0</v>
      </c>
      <c r="AK11" s="29">
        <v>8</v>
      </c>
      <c r="AL11">
        <v>25</v>
      </c>
      <c r="AM11" t="s">
        <v>43</v>
      </c>
      <c r="AN11" t="s">
        <v>67</v>
      </c>
    </row>
    <row r="12" spans="1:40">
      <c r="A12" s="4" t="s">
        <v>112</v>
      </c>
      <c r="B12">
        <v>1993</v>
      </c>
      <c r="C12">
        <v>20</v>
      </c>
      <c r="D12">
        <v>4</v>
      </c>
      <c r="E12">
        <v>2</v>
      </c>
      <c r="F12">
        <v>22</v>
      </c>
      <c r="G12">
        <v>1</v>
      </c>
      <c r="H12">
        <v>0</v>
      </c>
      <c r="I12" t="s">
        <v>100</v>
      </c>
      <c r="J12" t="s">
        <v>106</v>
      </c>
      <c r="K12" t="s">
        <v>107</v>
      </c>
      <c r="L12" t="s">
        <v>108</v>
      </c>
      <c r="M12" t="str">
        <f t="shared" si="0"/>
        <v>Cyperus</v>
      </c>
      <c r="N12" s="7" t="s">
        <v>113</v>
      </c>
      <c r="O12" t="s">
        <v>43</v>
      </c>
      <c r="P12" t="str">
        <f t="shared" si="1"/>
        <v>Low</v>
      </c>
      <c r="Q12">
        <v>0.11</v>
      </c>
      <c r="R12" s="25">
        <v>1200</v>
      </c>
      <c r="S12">
        <v>100</v>
      </c>
      <c r="T12" s="5" t="s">
        <v>114</v>
      </c>
      <c r="U12" s="1" t="s">
        <v>115</v>
      </c>
      <c r="V12" s="1" t="s">
        <v>47</v>
      </c>
      <c r="W12" s="25">
        <v>10</v>
      </c>
      <c r="X12" s="25">
        <v>0.5</v>
      </c>
      <c r="Y12" t="s">
        <v>48</v>
      </c>
      <c r="Z12" s="25">
        <v>100</v>
      </c>
      <c r="AA12" s="25">
        <v>28</v>
      </c>
      <c r="AB12" s="25">
        <v>1</v>
      </c>
      <c r="AC12" s="25">
        <v>0</v>
      </c>
      <c r="AD12" s="25">
        <v>1</v>
      </c>
      <c r="AE12" s="29" t="s">
        <v>43</v>
      </c>
      <c r="AF12" s="25">
        <v>20</v>
      </c>
      <c r="AG12" s="25">
        <v>0</v>
      </c>
      <c r="AH12" s="25">
        <v>2</v>
      </c>
      <c r="AI12" s="25">
        <v>0</v>
      </c>
      <c r="AJ12" s="25">
        <v>0</v>
      </c>
      <c r="AK12" s="29">
        <v>8</v>
      </c>
      <c r="AL12">
        <v>25</v>
      </c>
      <c r="AM12" t="s">
        <v>116</v>
      </c>
      <c r="AN12" t="s">
        <v>67</v>
      </c>
    </row>
    <row r="13" spans="1:40" ht="14.45">
      <c r="A13" s="4" t="s">
        <v>117</v>
      </c>
      <c r="B13">
        <v>1990</v>
      </c>
      <c r="C13">
        <v>20</v>
      </c>
      <c r="D13">
        <v>14</v>
      </c>
      <c r="E13">
        <v>4</v>
      </c>
      <c r="F13">
        <v>1</v>
      </c>
      <c r="G13">
        <v>6</v>
      </c>
      <c r="H13">
        <v>0</v>
      </c>
      <c r="I13" t="s">
        <v>100</v>
      </c>
      <c r="J13" t="s">
        <v>118</v>
      </c>
      <c r="K13" t="s">
        <v>119</v>
      </c>
      <c r="L13" t="s">
        <v>120</v>
      </c>
      <c r="M13" t="str">
        <f t="shared" si="0"/>
        <v>Oryza</v>
      </c>
      <c r="N13" s="7" t="s">
        <v>121</v>
      </c>
      <c r="O13" t="s">
        <v>122</v>
      </c>
      <c r="P13" t="str">
        <f t="shared" si="1"/>
        <v>Moderate</v>
      </c>
      <c r="Q13">
        <v>0.28999999999999998</v>
      </c>
      <c r="R13" s="25">
        <v>500</v>
      </c>
      <c r="S13">
        <v>0</v>
      </c>
      <c r="T13" s="5" t="s">
        <v>123</v>
      </c>
      <c r="U13" s="2" t="s">
        <v>124</v>
      </c>
      <c r="V13" s="1" t="s">
        <v>47</v>
      </c>
      <c r="W13" s="25">
        <v>30</v>
      </c>
      <c r="X13" s="25" t="s">
        <v>43</v>
      </c>
      <c r="Y13" t="s">
        <v>48</v>
      </c>
      <c r="Z13" s="25">
        <v>100</v>
      </c>
      <c r="AA13" s="25">
        <v>25</v>
      </c>
      <c r="AB13" s="25">
        <v>1</v>
      </c>
      <c r="AC13" s="25">
        <v>0</v>
      </c>
      <c r="AD13" s="25">
        <v>0</v>
      </c>
      <c r="AE13" s="29">
        <v>0.6</v>
      </c>
      <c r="AF13" s="25">
        <v>10</v>
      </c>
      <c r="AG13" s="25">
        <v>0</v>
      </c>
      <c r="AH13" s="25">
        <v>0</v>
      </c>
      <c r="AI13" s="25">
        <v>0</v>
      </c>
      <c r="AJ13" s="25">
        <v>0</v>
      </c>
      <c r="AK13" s="29">
        <v>8</v>
      </c>
      <c r="AL13">
        <v>25</v>
      </c>
      <c r="AM13" t="s">
        <v>125</v>
      </c>
      <c r="AN13" t="s">
        <v>67</v>
      </c>
    </row>
    <row r="14" spans="1:40" ht="14.45">
      <c r="A14" s="4" t="s">
        <v>117</v>
      </c>
      <c r="B14">
        <v>1990</v>
      </c>
      <c r="C14">
        <v>20</v>
      </c>
      <c r="D14">
        <v>14</v>
      </c>
      <c r="E14">
        <v>4</v>
      </c>
      <c r="F14">
        <v>1</v>
      </c>
      <c r="G14">
        <v>6</v>
      </c>
      <c r="H14">
        <v>0</v>
      </c>
      <c r="I14" t="s">
        <v>100</v>
      </c>
      <c r="J14" t="s">
        <v>118</v>
      </c>
      <c r="K14" t="s">
        <v>119</v>
      </c>
      <c r="L14" t="s">
        <v>120</v>
      </c>
      <c r="M14" t="str">
        <f t="shared" si="0"/>
        <v>Oryza</v>
      </c>
      <c r="N14" s="7" t="s">
        <v>121</v>
      </c>
      <c r="O14" t="s">
        <v>126</v>
      </c>
      <c r="P14" t="str">
        <f t="shared" si="1"/>
        <v>Moderate</v>
      </c>
      <c r="Q14">
        <v>0.41</v>
      </c>
      <c r="R14" s="25">
        <v>500</v>
      </c>
      <c r="S14">
        <v>0</v>
      </c>
      <c r="T14" s="5" t="s">
        <v>123</v>
      </c>
      <c r="U14" s="2" t="s">
        <v>124</v>
      </c>
      <c r="V14" s="1" t="s">
        <v>47</v>
      </c>
      <c r="W14" s="25">
        <v>30</v>
      </c>
      <c r="X14" s="25" t="s">
        <v>43</v>
      </c>
      <c r="Y14" t="s">
        <v>48</v>
      </c>
      <c r="Z14" s="25">
        <v>100</v>
      </c>
      <c r="AA14" s="25">
        <v>25</v>
      </c>
      <c r="AB14" s="25">
        <v>1</v>
      </c>
      <c r="AC14" s="25">
        <v>0</v>
      </c>
      <c r="AD14" s="25">
        <v>0</v>
      </c>
      <c r="AE14" s="29">
        <v>0.6</v>
      </c>
      <c r="AF14" s="25">
        <v>10</v>
      </c>
      <c r="AG14" s="25">
        <v>0</v>
      </c>
      <c r="AH14" s="25">
        <v>0</v>
      </c>
      <c r="AI14" s="25">
        <v>0</v>
      </c>
      <c r="AJ14" s="25">
        <v>0</v>
      </c>
      <c r="AK14" s="29">
        <v>8</v>
      </c>
      <c r="AL14">
        <v>25</v>
      </c>
      <c r="AM14" t="s">
        <v>125</v>
      </c>
      <c r="AN14" t="s">
        <v>67</v>
      </c>
    </row>
    <row r="15" spans="1:40" ht="14.45">
      <c r="A15" s="4" t="s">
        <v>117</v>
      </c>
      <c r="B15">
        <v>1990</v>
      </c>
      <c r="C15">
        <v>20</v>
      </c>
      <c r="D15">
        <v>14</v>
      </c>
      <c r="E15">
        <v>4</v>
      </c>
      <c r="F15">
        <v>1</v>
      </c>
      <c r="G15">
        <v>6</v>
      </c>
      <c r="H15">
        <v>0</v>
      </c>
      <c r="I15" t="s">
        <v>100</v>
      </c>
      <c r="J15" t="s">
        <v>118</v>
      </c>
      <c r="K15" t="s">
        <v>119</v>
      </c>
      <c r="L15" t="s">
        <v>120</v>
      </c>
      <c r="M15" t="str">
        <f t="shared" si="0"/>
        <v>Oryza</v>
      </c>
      <c r="N15" s="7" t="s">
        <v>121</v>
      </c>
      <c r="O15" t="s">
        <v>127</v>
      </c>
      <c r="P15" t="str">
        <f t="shared" si="1"/>
        <v>Moderate</v>
      </c>
      <c r="Q15">
        <v>0.37</v>
      </c>
      <c r="R15" s="25">
        <v>500</v>
      </c>
      <c r="S15">
        <v>0</v>
      </c>
      <c r="T15" s="5" t="s">
        <v>123</v>
      </c>
      <c r="U15" s="2" t="s">
        <v>124</v>
      </c>
      <c r="V15" s="1" t="s">
        <v>47</v>
      </c>
      <c r="W15" s="25">
        <v>30</v>
      </c>
      <c r="X15" s="25" t="s">
        <v>43</v>
      </c>
      <c r="Y15" t="s">
        <v>48</v>
      </c>
      <c r="Z15" s="25">
        <v>100</v>
      </c>
      <c r="AA15" s="25">
        <v>25</v>
      </c>
      <c r="AB15" s="25">
        <v>1</v>
      </c>
      <c r="AC15" s="25">
        <v>0</v>
      </c>
      <c r="AD15" s="25">
        <v>0</v>
      </c>
      <c r="AE15" s="29">
        <v>0.6</v>
      </c>
      <c r="AF15" s="25">
        <v>10</v>
      </c>
      <c r="AG15" s="25">
        <v>0</v>
      </c>
      <c r="AH15" s="25">
        <v>0</v>
      </c>
      <c r="AI15" s="25">
        <v>0</v>
      </c>
      <c r="AJ15" s="25">
        <v>0</v>
      </c>
      <c r="AK15" s="29">
        <v>8</v>
      </c>
      <c r="AL15">
        <v>25</v>
      </c>
      <c r="AM15" t="s">
        <v>125</v>
      </c>
      <c r="AN15" t="s">
        <v>67</v>
      </c>
    </row>
    <row r="16" spans="1:40" ht="14.45">
      <c r="A16" s="4" t="s">
        <v>117</v>
      </c>
      <c r="B16">
        <v>1990</v>
      </c>
      <c r="C16">
        <v>20</v>
      </c>
      <c r="D16">
        <v>14</v>
      </c>
      <c r="E16">
        <v>4</v>
      </c>
      <c r="F16">
        <v>1</v>
      </c>
      <c r="G16">
        <v>6</v>
      </c>
      <c r="H16">
        <v>0</v>
      </c>
      <c r="I16" t="s">
        <v>100</v>
      </c>
      <c r="J16" t="s">
        <v>118</v>
      </c>
      <c r="K16" t="s">
        <v>119</v>
      </c>
      <c r="L16" t="s">
        <v>120</v>
      </c>
      <c r="M16" t="str">
        <f t="shared" si="0"/>
        <v>Oryza</v>
      </c>
      <c r="N16" s="7" t="s">
        <v>121</v>
      </c>
      <c r="O16" t="s">
        <v>128</v>
      </c>
      <c r="P16" t="str">
        <f t="shared" si="1"/>
        <v>Moderate</v>
      </c>
      <c r="Q16">
        <v>0.3</v>
      </c>
      <c r="R16" s="25">
        <v>500</v>
      </c>
      <c r="S16">
        <v>0</v>
      </c>
      <c r="T16" s="5" t="s">
        <v>123</v>
      </c>
      <c r="U16" s="2" t="s">
        <v>124</v>
      </c>
      <c r="V16" s="1" t="s">
        <v>47</v>
      </c>
      <c r="W16" s="25">
        <v>30</v>
      </c>
      <c r="X16" s="25" t="s">
        <v>43</v>
      </c>
      <c r="Y16" t="s">
        <v>48</v>
      </c>
      <c r="Z16" s="25">
        <v>100</v>
      </c>
      <c r="AA16" s="25">
        <v>25</v>
      </c>
      <c r="AB16" s="25">
        <v>1</v>
      </c>
      <c r="AC16" s="25">
        <v>0</v>
      </c>
      <c r="AD16" s="25">
        <v>0</v>
      </c>
      <c r="AE16" s="29">
        <v>0.6</v>
      </c>
      <c r="AF16" s="25">
        <v>10</v>
      </c>
      <c r="AG16" s="25">
        <v>0</v>
      </c>
      <c r="AH16" s="25">
        <v>0</v>
      </c>
      <c r="AI16" s="25">
        <v>0</v>
      </c>
      <c r="AJ16" s="25">
        <v>0</v>
      </c>
      <c r="AK16" s="29">
        <v>8</v>
      </c>
      <c r="AL16">
        <v>25</v>
      </c>
      <c r="AM16" t="s">
        <v>125</v>
      </c>
      <c r="AN16" t="s">
        <v>67</v>
      </c>
    </row>
    <row r="17" spans="1:40" ht="14.45">
      <c r="A17" s="4" t="s">
        <v>117</v>
      </c>
      <c r="B17">
        <v>1990</v>
      </c>
      <c r="C17">
        <v>20</v>
      </c>
      <c r="D17">
        <v>14</v>
      </c>
      <c r="E17">
        <v>4</v>
      </c>
      <c r="F17">
        <v>1</v>
      </c>
      <c r="G17">
        <v>6</v>
      </c>
      <c r="H17">
        <v>0</v>
      </c>
      <c r="I17" t="s">
        <v>100</v>
      </c>
      <c r="J17" t="s">
        <v>118</v>
      </c>
      <c r="K17" t="s">
        <v>119</v>
      </c>
      <c r="L17" t="s">
        <v>120</v>
      </c>
      <c r="M17" t="str">
        <f t="shared" si="0"/>
        <v>Oryza</v>
      </c>
      <c r="N17" s="7" t="s">
        <v>121</v>
      </c>
      <c r="O17" t="s">
        <v>129</v>
      </c>
      <c r="P17" t="str">
        <f t="shared" si="1"/>
        <v>High</v>
      </c>
      <c r="Q17">
        <v>0.54</v>
      </c>
      <c r="R17" s="25">
        <v>500</v>
      </c>
      <c r="S17">
        <v>0</v>
      </c>
      <c r="T17" s="5" t="s">
        <v>123</v>
      </c>
      <c r="U17" s="2" t="s">
        <v>124</v>
      </c>
      <c r="V17" s="1" t="s">
        <v>47</v>
      </c>
      <c r="W17" s="25">
        <v>30</v>
      </c>
      <c r="X17" s="25" t="s">
        <v>43</v>
      </c>
      <c r="Y17" t="s">
        <v>48</v>
      </c>
      <c r="Z17" s="25">
        <v>100</v>
      </c>
      <c r="AA17" s="25">
        <v>25</v>
      </c>
      <c r="AB17" s="25">
        <v>1</v>
      </c>
      <c r="AC17" s="25">
        <v>0</v>
      </c>
      <c r="AD17" s="25">
        <v>0</v>
      </c>
      <c r="AE17" s="29">
        <v>0.6</v>
      </c>
      <c r="AF17" s="25">
        <v>10</v>
      </c>
      <c r="AG17" s="25">
        <v>0</v>
      </c>
      <c r="AH17" s="25">
        <v>0</v>
      </c>
      <c r="AI17" s="25">
        <v>0</v>
      </c>
      <c r="AJ17" s="25">
        <v>0</v>
      </c>
      <c r="AK17" s="29">
        <v>8</v>
      </c>
      <c r="AL17">
        <v>25</v>
      </c>
      <c r="AM17" t="s">
        <v>125</v>
      </c>
      <c r="AN17" t="s">
        <v>67</v>
      </c>
    </row>
    <row r="18" spans="1:40" ht="14.45">
      <c r="A18" s="4" t="s">
        <v>117</v>
      </c>
      <c r="B18">
        <v>1990</v>
      </c>
      <c r="C18">
        <v>20</v>
      </c>
      <c r="D18">
        <v>14</v>
      </c>
      <c r="E18">
        <v>4</v>
      </c>
      <c r="F18">
        <v>1</v>
      </c>
      <c r="G18">
        <v>6</v>
      </c>
      <c r="H18">
        <v>0</v>
      </c>
      <c r="I18" t="s">
        <v>100</v>
      </c>
      <c r="J18" t="s">
        <v>118</v>
      </c>
      <c r="K18" t="s">
        <v>119</v>
      </c>
      <c r="L18" t="s">
        <v>120</v>
      </c>
      <c r="M18" t="str">
        <f t="shared" si="0"/>
        <v>Oryza</v>
      </c>
      <c r="N18" s="7" t="s">
        <v>121</v>
      </c>
      <c r="O18" t="s">
        <v>130</v>
      </c>
      <c r="P18" t="str">
        <f t="shared" si="1"/>
        <v>High</v>
      </c>
      <c r="Q18">
        <v>0.48</v>
      </c>
      <c r="R18" s="25">
        <v>500</v>
      </c>
      <c r="S18">
        <v>0</v>
      </c>
      <c r="T18" s="5" t="s">
        <v>123</v>
      </c>
      <c r="U18" s="2" t="s">
        <v>124</v>
      </c>
      <c r="V18" s="1" t="s">
        <v>47</v>
      </c>
      <c r="W18" s="25">
        <v>30</v>
      </c>
      <c r="X18" s="25" t="s">
        <v>43</v>
      </c>
      <c r="Y18" t="s">
        <v>48</v>
      </c>
      <c r="Z18" s="25">
        <v>100</v>
      </c>
      <c r="AA18" s="25">
        <v>25</v>
      </c>
      <c r="AB18" s="25">
        <v>1</v>
      </c>
      <c r="AC18" s="25">
        <v>0</v>
      </c>
      <c r="AD18" s="25">
        <v>0</v>
      </c>
      <c r="AE18" s="29">
        <v>0.6</v>
      </c>
      <c r="AF18" s="25">
        <v>10</v>
      </c>
      <c r="AG18" s="25">
        <v>0</v>
      </c>
      <c r="AH18" s="25">
        <v>0</v>
      </c>
      <c r="AI18" s="25">
        <v>0</v>
      </c>
      <c r="AJ18" s="25">
        <v>0</v>
      </c>
      <c r="AK18" s="29">
        <v>8</v>
      </c>
      <c r="AL18">
        <v>25</v>
      </c>
      <c r="AM18" t="s">
        <v>125</v>
      </c>
      <c r="AN18" t="s">
        <v>67</v>
      </c>
    </row>
    <row r="19" spans="1:40" ht="14.45">
      <c r="A19" s="4" t="s">
        <v>131</v>
      </c>
      <c r="B19">
        <v>1991</v>
      </c>
      <c r="C19">
        <v>20</v>
      </c>
      <c r="D19">
        <v>14</v>
      </c>
      <c r="E19">
        <v>4</v>
      </c>
      <c r="F19">
        <v>1</v>
      </c>
      <c r="G19">
        <v>6</v>
      </c>
      <c r="H19">
        <v>0</v>
      </c>
      <c r="I19" t="s">
        <v>100</v>
      </c>
      <c r="J19" t="s">
        <v>118</v>
      </c>
      <c r="K19" t="s">
        <v>119</v>
      </c>
      <c r="L19" t="s">
        <v>120</v>
      </c>
      <c r="M19" t="str">
        <f t="shared" si="0"/>
        <v>Oryza</v>
      </c>
      <c r="N19" s="7" t="s">
        <v>121</v>
      </c>
      <c r="O19" t="s">
        <v>126</v>
      </c>
      <c r="P19" t="str">
        <f t="shared" si="1"/>
        <v>High</v>
      </c>
      <c r="Q19">
        <f>1-(12.313/48.702)</f>
        <v>0.74717670732208119</v>
      </c>
      <c r="R19" s="25">
        <v>1200</v>
      </c>
      <c r="S19">
        <v>0</v>
      </c>
      <c r="T19" s="5" t="s">
        <v>132</v>
      </c>
      <c r="U19" s="1" t="s">
        <v>64</v>
      </c>
      <c r="V19" s="1" t="s">
        <v>47</v>
      </c>
      <c r="W19" s="25" t="s">
        <v>43</v>
      </c>
      <c r="X19" s="25">
        <v>0.5</v>
      </c>
      <c r="Y19" t="s">
        <v>65</v>
      </c>
      <c r="Z19" s="25">
        <v>100</v>
      </c>
      <c r="AA19" s="25">
        <v>25</v>
      </c>
      <c r="AB19" s="25">
        <v>5</v>
      </c>
      <c r="AC19" s="25">
        <v>0</v>
      </c>
      <c r="AD19" s="25">
        <v>0</v>
      </c>
      <c r="AE19" s="29" t="s">
        <v>43</v>
      </c>
      <c r="AF19" s="25">
        <v>10</v>
      </c>
      <c r="AG19" s="25">
        <v>0</v>
      </c>
      <c r="AH19" s="25">
        <v>0</v>
      </c>
      <c r="AI19" s="25">
        <v>0</v>
      </c>
      <c r="AJ19" s="25">
        <v>0</v>
      </c>
      <c r="AK19" s="29">
        <v>8</v>
      </c>
      <c r="AL19">
        <v>25</v>
      </c>
      <c r="AM19" t="s">
        <v>133</v>
      </c>
      <c r="AN19" t="s">
        <v>67</v>
      </c>
    </row>
    <row r="20" spans="1:40" ht="14.45">
      <c r="A20" s="4" t="s">
        <v>134</v>
      </c>
      <c r="B20">
        <v>1997</v>
      </c>
      <c r="C20">
        <v>20</v>
      </c>
      <c r="D20">
        <v>14</v>
      </c>
      <c r="E20">
        <v>4</v>
      </c>
      <c r="F20">
        <v>1</v>
      </c>
      <c r="G20">
        <v>6</v>
      </c>
      <c r="H20">
        <v>0</v>
      </c>
      <c r="I20" t="s">
        <v>100</v>
      </c>
      <c r="J20" t="s">
        <v>118</v>
      </c>
      <c r="K20" t="s">
        <v>119</v>
      </c>
      <c r="L20" t="s">
        <v>120</v>
      </c>
      <c r="M20" t="str">
        <f t="shared" si="0"/>
        <v>Oryza</v>
      </c>
      <c r="N20" s="7" t="s">
        <v>121</v>
      </c>
      <c r="O20" t="s">
        <v>135</v>
      </c>
      <c r="P20" t="str">
        <f t="shared" si="1"/>
        <v>High</v>
      </c>
      <c r="Q20">
        <f>1-(383/1399)</f>
        <v>0.72623302358827735</v>
      </c>
      <c r="R20" s="25">
        <v>1600</v>
      </c>
      <c r="S20">
        <v>0</v>
      </c>
      <c r="T20" s="5" t="s">
        <v>136</v>
      </c>
      <c r="U20" s="2" t="s">
        <v>137</v>
      </c>
      <c r="V20" s="1" t="s">
        <v>47</v>
      </c>
      <c r="W20" s="25" t="s">
        <v>43</v>
      </c>
      <c r="X20" s="25">
        <v>0.75</v>
      </c>
      <c r="Y20" t="s">
        <v>76</v>
      </c>
      <c r="Z20" s="25">
        <v>50</v>
      </c>
      <c r="AA20" s="25">
        <v>10</v>
      </c>
      <c r="AB20" s="25">
        <v>5</v>
      </c>
      <c r="AC20" s="25">
        <v>0</v>
      </c>
      <c r="AD20" s="25">
        <v>0.1</v>
      </c>
      <c r="AE20" s="29">
        <v>0.5</v>
      </c>
      <c r="AF20" s="25">
        <v>20</v>
      </c>
      <c r="AG20" s="25">
        <v>0</v>
      </c>
      <c r="AH20" s="25">
        <v>0</v>
      </c>
      <c r="AI20" s="25">
        <v>0</v>
      </c>
      <c r="AJ20" s="25">
        <v>0</v>
      </c>
      <c r="AK20" s="29">
        <v>8</v>
      </c>
      <c r="AL20">
        <v>30</v>
      </c>
      <c r="AM20" t="s">
        <v>43</v>
      </c>
      <c r="AN20" t="s">
        <v>67</v>
      </c>
    </row>
    <row r="21" spans="1:40">
      <c r="A21" s="4" t="s">
        <v>105</v>
      </c>
      <c r="B21">
        <v>1986</v>
      </c>
      <c r="C21">
        <v>20</v>
      </c>
      <c r="D21">
        <v>14</v>
      </c>
      <c r="E21">
        <v>6</v>
      </c>
      <c r="F21">
        <v>4</v>
      </c>
      <c r="G21">
        <v>19</v>
      </c>
      <c r="H21">
        <v>0</v>
      </c>
      <c r="I21" t="s">
        <v>100</v>
      </c>
      <c r="J21" t="s">
        <v>118</v>
      </c>
      <c r="K21" t="s">
        <v>138</v>
      </c>
      <c r="L21" t="s">
        <v>139</v>
      </c>
      <c r="M21" t="str">
        <f t="shared" si="0"/>
        <v>Hordeum</v>
      </c>
      <c r="N21" s="7" t="s">
        <v>140</v>
      </c>
      <c r="O21" t="s">
        <v>43</v>
      </c>
      <c r="P21" t="str">
        <f t="shared" si="1"/>
        <v>Low</v>
      </c>
      <c r="Q21">
        <v>2.6666666666666505E-2</v>
      </c>
      <c r="R21" s="25">
        <v>1000</v>
      </c>
      <c r="S21">
        <v>10</v>
      </c>
      <c r="T21" s="5" t="s">
        <v>110</v>
      </c>
      <c r="U21" s="1" t="s">
        <v>111</v>
      </c>
      <c r="V21" s="1" t="s">
        <v>47</v>
      </c>
      <c r="W21" s="25">
        <v>10</v>
      </c>
      <c r="X21" s="25">
        <v>0.5</v>
      </c>
      <c r="Y21" t="s">
        <v>48</v>
      </c>
      <c r="Z21" s="25">
        <v>100</v>
      </c>
      <c r="AA21" s="25">
        <v>5</v>
      </c>
      <c r="AB21" s="25">
        <v>0</v>
      </c>
      <c r="AC21" s="25">
        <v>5</v>
      </c>
      <c r="AD21" s="25">
        <v>0</v>
      </c>
      <c r="AE21" s="29">
        <v>0.66</v>
      </c>
      <c r="AF21" s="25">
        <v>10</v>
      </c>
      <c r="AG21" s="25">
        <v>0</v>
      </c>
      <c r="AH21" s="25">
        <v>0</v>
      </c>
      <c r="AI21" s="25">
        <v>0</v>
      </c>
      <c r="AJ21" s="25">
        <v>0</v>
      </c>
      <c r="AK21" s="29">
        <v>8</v>
      </c>
      <c r="AL21">
        <v>25</v>
      </c>
      <c r="AM21" t="s">
        <v>43</v>
      </c>
      <c r="AN21" t="s">
        <v>67</v>
      </c>
    </row>
    <row r="22" spans="1:40">
      <c r="A22" s="4" t="s">
        <v>68</v>
      </c>
      <c r="B22">
        <v>1984</v>
      </c>
      <c r="C22">
        <v>20</v>
      </c>
      <c r="D22">
        <v>14</v>
      </c>
      <c r="E22">
        <v>6</v>
      </c>
      <c r="F22">
        <v>4</v>
      </c>
      <c r="G22">
        <v>22</v>
      </c>
      <c r="H22">
        <v>0</v>
      </c>
      <c r="I22" t="s">
        <v>100</v>
      </c>
      <c r="J22" t="s">
        <v>118</v>
      </c>
      <c r="K22" t="s">
        <v>138</v>
      </c>
      <c r="L22" t="s">
        <v>139</v>
      </c>
      <c r="M22" t="str">
        <f t="shared" si="0"/>
        <v>Triticum</v>
      </c>
      <c r="N22" s="7" t="s">
        <v>141</v>
      </c>
      <c r="O22" t="s">
        <v>142</v>
      </c>
      <c r="P22" t="str">
        <f t="shared" si="1"/>
        <v>Low</v>
      </c>
      <c r="Q22">
        <v>-2.3053278688524588E-2</v>
      </c>
      <c r="R22" s="27">
        <v>1000</v>
      </c>
      <c r="S22" s="6">
        <v>0</v>
      </c>
      <c r="T22" s="5" t="s">
        <v>74</v>
      </c>
      <c r="U22" t="s">
        <v>75</v>
      </c>
      <c r="V22" s="1" t="s">
        <v>47</v>
      </c>
      <c r="W22" s="25" t="s">
        <v>43</v>
      </c>
      <c r="X22" s="25">
        <v>0.75</v>
      </c>
      <c r="Y22" t="s">
        <v>76</v>
      </c>
      <c r="Z22" s="25">
        <v>50</v>
      </c>
      <c r="AA22" s="25">
        <v>10</v>
      </c>
      <c r="AB22" s="25">
        <v>5</v>
      </c>
      <c r="AC22" s="25">
        <v>0</v>
      </c>
      <c r="AD22" s="25">
        <v>0.1</v>
      </c>
      <c r="AE22" s="29">
        <v>0.5</v>
      </c>
      <c r="AF22" s="25">
        <v>20</v>
      </c>
      <c r="AG22" s="25">
        <v>0</v>
      </c>
      <c r="AH22" s="25">
        <v>0</v>
      </c>
      <c r="AI22" s="25">
        <v>0</v>
      </c>
      <c r="AJ22" s="25">
        <v>0</v>
      </c>
      <c r="AK22" s="29">
        <v>8.5</v>
      </c>
      <c r="AL22">
        <v>30</v>
      </c>
      <c r="AM22" t="s">
        <v>43</v>
      </c>
      <c r="AN22" t="s">
        <v>67</v>
      </c>
    </row>
    <row r="23" spans="1:40">
      <c r="A23" s="4" t="s">
        <v>105</v>
      </c>
      <c r="B23">
        <v>1986</v>
      </c>
      <c r="C23">
        <v>20</v>
      </c>
      <c r="D23">
        <v>14</v>
      </c>
      <c r="E23">
        <v>6</v>
      </c>
      <c r="F23">
        <v>4</v>
      </c>
      <c r="G23">
        <v>22</v>
      </c>
      <c r="H23">
        <v>0</v>
      </c>
      <c r="I23" t="s">
        <v>100</v>
      </c>
      <c r="J23" t="s">
        <v>118</v>
      </c>
      <c r="K23" t="s">
        <v>138</v>
      </c>
      <c r="L23" t="s">
        <v>139</v>
      </c>
      <c r="M23" t="str">
        <f t="shared" si="0"/>
        <v>Triticum</v>
      </c>
      <c r="N23" s="7" t="s">
        <v>141</v>
      </c>
      <c r="O23" t="s">
        <v>43</v>
      </c>
      <c r="P23" t="str">
        <f t="shared" si="1"/>
        <v>Low</v>
      </c>
      <c r="Q23">
        <v>0</v>
      </c>
      <c r="R23" s="25">
        <v>1000</v>
      </c>
      <c r="S23">
        <v>10</v>
      </c>
      <c r="T23" s="5" t="s">
        <v>110</v>
      </c>
      <c r="U23" s="1" t="s">
        <v>111</v>
      </c>
      <c r="V23" s="1" t="s">
        <v>47</v>
      </c>
      <c r="W23" s="25">
        <v>10</v>
      </c>
      <c r="X23" s="25">
        <v>0.5</v>
      </c>
      <c r="Y23" t="s">
        <v>48</v>
      </c>
      <c r="Z23" s="25">
        <v>100</v>
      </c>
      <c r="AA23" s="25">
        <v>5</v>
      </c>
      <c r="AB23" s="25">
        <v>0</v>
      </c>
      <c r="AC23" s="25">
        <v>5</v>
      </c>
      <c r="AD23" s="25">
        <v>0</v>
      </c>
      <c r="AE23" s="29">
        <v>0.66</v>
      </c>
      <c r="AF23" s="25">
        <v>10</v>
      </c>
      <c r="AG23" s="25">
        <v>0</v>
      </c>
      <c r="AH23" s="25">
        <v>0</v>
      </c>
      <c r="AI23" s="25">
        <v>0</v>
      </c>
      <c r="AJ23" s="25">
        <v>0</v>
      </c>
      <c r="AK23" s="29">
        <v>8</v>
      </c>
      <c r="AL23">
        <v>25</v>
      </c>
      <c r="AM23" t="s">
        <v>43</v>
      </c>
      <c r="AN23" t="s">
        <v>67</v>
      </c>
    </row>
    <row r="24" spans="1:40">
      <c r="A24" s="4" t="s">
        <v>112</v>
      </c>
      <c r="B24">
        <v>1993</v>
      </c>
      <c r="C24">
        <v>20</v>
      </c>
      <c r="D24">
        <v>14</v>
      </c>
      <c r="E24">
        <v>11</v>
      </c>
      <c r="F24">
        <v>2</v>
      </c>
      <c r="G24">
        <v>2</v>
      </c>
      <c r="H24">
        <v>0</v>
      </c>
      <c r="I24" t="s">
        <v>100</v>
      </c>
      <c r="J24" t="s">
        <v>118</v>
      </c>
      <c r="K24" t="s">
        <v>143</v>
      </c>
      <c r="L24" t="s">
        <v>144</v>
      </c>
      <c r="M24" t="str">
        <f t="shared" si="0"/>
        <v>Zoysia</v>
      </c>
      <c r="N24" s="7" t="s">
        <v>145</v>
      </c>
      <c r="O24" t="s">
        <v>43</v>
      </c>
      <c r="P24" t="str">
        <f t="shared" si="1"/>
        <v>Moderate</v>
      </c>
      <c r="Q24">
        <v>0.28000000000000003</v>
      </c>
      <c r="R24" s="25">
        <v>1200</v>
      </c>
      <c r="S24">
        <v>100</v>
      </c>
      <c r="T24" s="5" t="s">
        <v>114</v>
      </c>
      <c r="U24" s="1" t="s">
        <v>115</v>
      </c>
      <c r="V24" s="1" t="s">
        <v>47</v>
      </c>
      <c r="W24" s="25">
        <v>10</v>
      </c>
      <c r="X24" s="25">
        <v>0.5</v>
      </c>
      <c r="Y24" t="s">
        <v>48</v>
      </c>
      <c r="Z24" s="25">
        <v>100</v>
      </c>
      <c r="AA24" s="25">
        <v>28</v>
      </c>
      <c r="AB24" s="25">
        <v>1</v>
      </c>
      <c r="AC24" s="25">
        <v>0</v>
      </c>
      <c r="AD24" s="25">
        <v>1</v>
      </c>
      <c r="AE24" s="29" t="s">
        <v>43</v>
      </c>
      <c r="AF24" s="25">
        <v>20</v>
      </c>
      <c r="AG24" s="25">
        <v>0</v>
      </c>
      <c r="AH24" s="25">
        <v>2</v>
      </c>
      <c r="AI24" s="25">
        <v>0</v>
      </c>
      <c r="AJ24" s="25">
        <v>0</v>
      </c>
      <c r="AK24" s="29">
        <v>8</v>
      </c>
      <c r="AL24">
        <v>25</v>
      </c>
      <c r="AM24" t="s">
        <v>116</v>
      </c>
      <c r="AN24" t="s">
        <v>67</v>
      </c>
    </row>
    <row r="25" spans="1:40">
      <c r="A25" s="4" t="s">
        <v>146</v>
      </c>
      <c r="B25">
        <v>2010</v>
      </c>
      <c r="C25">
        <v>20</v>
      </c>
      <c r="D25">
        <v>14</v>
      </c>
      <c r="E25">
        <v>11</v>
      </c>
      <c r="F25">
        <v>2</v>
      </c>
      <c r="G25">
        <v>2</v>
      </c>
      <c r="H25">
        <v>0</v>
      </c>
      <c r="I25" t="s">
        <v>100</v>
      </c>
      <c r="J25" t="s">
        <v>118</v>
      </c>
      <c r="K25" t="s">
        <v>143</v>
      </c>
      <c r="L25" t="s">
        <v>144</v>
      </c>
      <c r="M25" t="str">
        <f t="shared" si="0"/>
        <v>Zoysia</v>
      </c>
      <c r="N25" s="7" t="s">
        <v>145</v>
      </c>
      <c r="O25" t="s">
        <v>147</v>
      </c>
      <c r="P25" t="str">
        <f t="shared" si="1"/>
        <v>Moderate</v>
      </c>
      <c r="Q25">
        <f>1-(1.74/2.36)</f>
        <v>0.26271186440677963</v>
      </c>
      <c r="R25" s="25">
        <v>500</v>
      </c>
      <c r="S25">
        <v>0</v>
      </c>
      <c r="T25" s="5" t="s">
        <v>148</v>
      </c>
      <c r="U25" s="3" t="s">
        <v>149</v>
      </c>
      <c r="V25" s="1" t="s">
        <v>47</v>
      </c>
      <c r="W25" s="25" t="s">
        <v>43</v>
      </c>
      <c r="X25" s="25" t="s">
        <v>43</v>
      </c>
      <c r="Y25" t="s">
        <v>48</v>
      </c>
      <c r="Z25" s="25">
        <v>100</v>
      </c>
      <c r="AA25" s="25">
        <v>20</v>
      </c>
      <c r="AB25" s="25">
        <v>0.5</v>
      </c>
      <c r="AC25" s="25">
        <v>2</v>
      </c>
      <c r="AD25" s="25">
        <v>0.05</v>
      </c>
      <c r="AE25" s="29">
        <v>0.4</v>
      </c>
      <c r="AF25" s="25">
        <v>10</v>
      </c>
      <c r="AG25" s="25">
        <v>0</v>
      </c>
      <c r="AH25" s="25">
        <v>0</v>
      </c>
      <c r="AI25" s="25">
        <v>0</v>
      </c>
      <c r="AJ25" s="25">
        <v>0</v>
      </c>
      <c r="AK25" s="29">
        <v>8.1999999999999993</v>
      </c>
      <c r="AL25">
        <v>25</v>
      </c>
      <c r="AM25" t="s">
        <v>150</v>
      </c>
      <c r="AN25" t="s">
        <v>67</v>
      </c>
    </row>
    <row r="26" spans="1:40">
      <c r="A26" s="4" t="s">
        <v>112</v>
      </c>
      <c r="B26">
        <v>1993</v>
      </c>
      <c r="C26">
        <v>20</v>
      </c>
      <c r="D26">
        <v>14</v>
      </c>
      <c r="E26">
        <v>11</v>
      </c>
      <c r="F26">
        <v>3</v>
      </c>
      <c r="G26">
        <v>79</v>
      </c>
      <c r="H26">
        <v>0</v>
      </c>
      <c r="I26" t="s">
        <v>100</v>
      </c>
      <c r="J26" t="s">
        <v>118</v>
      </c>
      <c r="K26" t="s">
        <v>143</v>
      </c>
      <c r="L26" t="s">
        <v>151</v>
      </c>
      <c r="M26" t="str">
        <f t="shared" si="0"/>
        <v>Cynodon</v>
      </c>
      <c r="N26" s="7" t="s">
        <v>152</v>
      </c>
      <c r="O26" t="s">
        <v>43</v>
      </c>
      <c r="P26" t="str">
        <f t="shared" si="1"/>
        <v>Low</v>
      </c>
      <c r="Q26">
        <v>0.08</v>
      </c>
      <c r="R26" s="25">
        <v>1200</v>
      </c>
      <c r="S26">
        <v>100</v>
      </c>
      <c r="T26" s="5" t="s">
        <v>114</v>
      </c>
      <c r="U26" s="1" t="s">
        <v>115</v>
      </c>
      <c r="V26" s="1" t="s">
        <v>47</v>
      </c>
      <c r="W26" s="25">
        <v>10</v>
      </c>
      <c r="X26" s="25">
        <v>0.5</v>
      </c>
      <c r="Y26" t="s">
        <v>48</v>
      </c>
      <c r="Z26" s="25">
        <v>100</v>
      </c>
      <c r="AA26" s="25">
        <v>28</v>
      </c>
      <c r="AB26" s="25">
        <v>1</v>
      </c>
      <c r="AC26" s="25">
        <v>0</v>
      </c>
      <c r="AD26" s="25">
        <v>1</v>
      </c>
      <c r="AE26" s="29" t="s">
        <v>43</v>
      </c>
      <c r="AF26" s="25">
        <v>20</v>
      </c>
      <c r="AG26" s="25">
        <v>0</v>
      </c>
      <c r="AH26" s="25">
        <v>2</v>
      </c>
      <c r="AI26" s="25">
        <v>0</v>
      </c>
      <c r="AJ26" s="25">
        <v>0</v>
      </c>
      <c r="AK26" s="29">
        <v>8</v>
      </c>
      <c r="AL26">
        <v>25</v>
      </c>
      <c r="AM26" t="s">
        <v>116</v>
      </c>
      <c r="AN26" t="s">
        <v>67</v>
      </c>
    </row>
    <row r="27" spans="1:40">
      <c r="A27" s="32" t="s">
        <v>146</v>
      </c>
      <c r="B27">
        <v>2010</v>
      </c>
      <c r="C27">
        <v>20</v>
      </c>
      <c r="D27">
        <v>14</v>
      </c>
      <c r="E27">
        <v>11</v>
      </c>
      <c r="F27">
        <v>3</v>
      </c>
      <c r="G27">
        <v>79</v>
      </c>
      <c r="H27">
        <v>0</v>
      </c>
      <c r="I27" t="s">
        <v>100</v>
      </c>
      <c r="J27" t="s">
        <v>118</v>
      </c>
      <c r="K27" t="s">
        <v>143</v>
      </c>
      <c r="L27" t="s">
        <v>151</v>
      </c>
      <c r="M27" t="str">
        <f t="shared" si="0"/>
        <v>Cynodon</v>
      </c>
      <c r="N27" s="7" t="s">
        <v>152</v>
      </c>
      <c r="O27" t="s">
        <v>153</v>
      </c>
      <c r="P27" t="str">
        <f t="shared" si="1"/>
        <v>Low</v>
      </c>
      <c r="Q27">
        <f>1-(1.83/1.73)</f>
        <v>-5.7803468208092568E-2</v>
      </c>
      <c r="R27" s="25">
        <v>500</v>
      </c>
      <c r="S27">
        <v>0</v>
      </c>
      <c r="T27" s="5" t="s">
        <v>148</v>
      </c>
      <c r="U27" s="3" t="s">
        <v>149</v>
      </c>
      <c r="V27" s="1" t="s">
        <v>47</v>
      </c>
      <c r="W27" s="25" t="s">
        <v>43</v>
      </c>
      <c r="X27" s="25" t="s">
        <v>43</v>
      </c>
      <c r="Y27" t="s">
        <v>48</v>
      </c>
      <c r="Z27" s="25">
        <v>100</v>
      </c>
      <c r="AA27" s="25">
        <v>20</v>
      </c>
      <c r="AB27" s="25">
        <v>0.5</v>
      </c>
      <c r="AC27" s="25">
        <v>2</v>
      </c>
      <c r="AD27" s="25">
        <v>0.05</v>
      </c>
      <c r="AE27" s="29">
        <v>0.4</v>
      </c>
      <c r="AF27" s="25">
        <v>10</v>
      </c>
      <c r="AG27" s="25">
        <v>0</v>
      </c>
      <c r="AH27" s="25">
        <v>0</v>
      </c>
      <c r="AI27" s="25">
        <v>0</v>
      </c>
      <c r="AJ27" s="25">
        <v>0</v>
      </c>
      <c r="AK27" s="29">
        <v>8.1999999999999993</v>
      </c>
      <c r="AL27">
        <v>25</v>
      </c>
      <c r="AM27" t="s">
        <v>150</v>
      </c>
      <c r="AN27" t="s">
        <v>67</v>
      </c>
    </row>
    <row r="28" spans="1:40">
      <c r="A28" s="4" t="s">
        <v>112</v>
      </c>
      <c r="B28">
        <v>1993</v>
      </c>
      <c r="C28">
        <v>20</v>
      </c>
      <c r="D28">
        <v>14</v>
      </c>
      <c r="E28">
        <v>12</v>
      </c>
      <c r="F28">
        <v>3</v>
      </c>
      <c r="G28">
        <v>19</v>
      </c>
      <c r="H28">
        <v>0</v>
      </c>
      <c r="I28" t="s">
        <v>100</v>
      </c>
      <c r="J28" t="s">
        <v>118</v>
      </c>
      <c r="K28" t="s">
        <v>154</v>
      </c>
      <c r="L28" t="s">
        <v>155</v>
      </c>
      <c r="M28" t="str">
        <f t="shared" si="0"/>
        <v>Janochloa</v>
      </c>
      <c r="N28" s="7" t="s">
        <v>156</v>
      </c>
      <c r="O28" t="s">
        <v>43</v>
      </c>
      <c r="P28" t="str">
        <f t="shared" si="1"/>
        <v>Low</v>
      </c>
      <c r="Q28">
        <v>-0.18</v>
      </c>
      <c r="R28" s="25">
        <v>1200</v>
      </c>
      <c r="S28">
        <v>100</v>
      </c>
      <c r="T28" s="5" t="s">
        <v>114</v>
      </c>
      <c r="U28" s="1" t="s">
        <v>115</v>
      </c>
      <c r="V28" s="1" t="s">
        <v>47</v>
      </c>
      <c r="W28" s="25">
        <v>10</v>
      </c>
      <c r="X28" s="25">
        <v>0.5</v>
      </c>
      <c r="Y28" t="s">
        <v>48</v>
      </c>
      <c r="Z28" s="25">
        <v>100</v>
      </c>
      <c r="AA28" s="25">
        <v>28</v>
      </c>
      <c r="AB28" s="25">
        <v>1</v>
      </c>
      <c r="AC28" s="25">
        <v>0</v>
      </c>
      <c r="AD28" s="25">
        <v>1</v>
      </c>
      <c r="AE28" s="29" t="s">
        <v>43</v>
      </c>
      <c r="AF28" s="25">
        <v>20</v>
      </c>
      <c r="AG28" s="25">
        <v>0</v>
      </c>
      <c r="AH28" s="25">
        <v>2</v>
      </c>
      <c r="AI28" s="25">
        <v>0</v>
      </c>
      <c r="AJ28" s="25">
        <v>0</v>
      </c>
      <c r="AK28" s="29">
        <v>8</v>
      </c>
      <c r="AL28">
        <v>25</v>
      </c>
      <c r="AM28" t="s">
        <v>116</v>
      </c>
      <c r="AN28" t="s">
        <v>67</v>
      </c>
    </row>
    <row r="29" spans="1:40">
      <c r="A29" s="4" t="s">
        <v>68</v>
      </c>
      <c r="B29">
        <v>1984</v>
      </c>
      <c r="C29">
        <v>20</v>
      </c>
      <c r="D29">
        <v>14</v>
      </c>
      <c r="E29">
        <v>12</v>
      </c>
      <c r="F29">
        <v>3</v>
      </c>
      <c r="G29">
        <v>18</v>
      </c>
      <c r="H29">
        <v>0</v>
      </c>
      <c r="I29" t="s">
        <v>100</v>
      </c>
      <c r="J29" t="s">
        <v>118</v>
      </c>
      <c r="K29" t="s">
        <v>154</v>
      </c>
      <c r="L29" t="s">
        <v>155</v>
      </c>
      <c r="M29" t="str">
        <f t="shared" si="0"/>
        <v>Panicum</v>
      </c>
      <c r="N29" s="7" t="s">
        <v>157</v>
      </c>
      <c r="O29" t="s">
        <v>43</v>
      </c>
      <c r="P29" t="str">
        <f t="shared" si="1"/>
        <v>Moderate</v>
      </c>
      <c r="Q29">
        <v>0.28249885163068444</v>
      </c>
      <c r="R29" s="26">
        <v>800</v>
      </c>
      <c r="S29" s="6">
        <v>0</v>
      </c>
      <c r="T29" s="5" t="s">
        <v>74</v>
      </c>
      <c r="U29" t="s">
        <v>75</v>
      </c>
      <c r="V29" s="1" t="s">
        <v>47</v>
      </c>
      <c r="W29" s="25" t="s">
        <v>43</v>
      </c>
      <c r="X29" s="25">
        <v>0.75</v>
      </c>
      <c r="Y29" t="s">
        <v>76</v>
      </c>
      <c r="Z29" s="25">
        <v>50</v>
      </c>
      <c r="AA29" s="25">
        <v>10</v>
      </c>
      <c r="AB29" s="25">
        <v>5</v>
      </c>
      <c r="AC29" s="25">
        <v>0</v>
      </c>
      <c r="AD29" s="25">
        <v>0.1</v>
      </c>
      <c r="AE29" s="29">
        <v>0.5</v>
      </c>
      <c r="AF29" s="25">
        <v>20</v>
      </c>
      <c r="AG29" s="25">
        <v>0</v>
      </c>
      <c r="AH29" s="25">
        <v>0</v>
      </c>
      <c r="AI29" s="25">
        <v>0</v>
      </c>
      <c r="AJ29" s="25">
        <v>0</v>
      </c>
      <c r="AK29" s="29">
        <v>8.5</v>
      </c>
      <c r="AL29">
        <v>30</v>
      </c>
      <c r="AM29" t="s">
        <v>43</v>
      </c>
      <c r="AN29" t="s">
        <v>67</v>
      </c>
    </row>
    <row r="30" spans="1:40">
      <c r="A30" s="4" t="s">
        <v>68</v>
      </c>
      <c r="B30">
        <v>1984</v>
      </c>
      <c r="C30">
        <v>20</v>
      </c>
      <c r="D30">
        <v>14</v>
      </c>
      <c r="E30">
        <v>12</v>
      </c>
      <c r="F30">
        <v>3</v>
      </c>
      <c r="G30">
        <v>18</v>
      </c>
      <c r="H30">
        <v>0</v>
      </c>
      <c r="I30" t="s">
        <v>100</v>
      </c>
      <c r="J30" t="s">
        <v>118</v>
      </c>
      <c r="K30" t="s">
        <v>154</v>
      </c>
      <c r="L30" t="s">
        <v>155</v>
      </c>
      <c r="M30" t="str">
        <f t="shared" si="0"/>
        <v>Panicum</v>
      </c>
      <c r="N30" s="7" t="s">
        <v>158</v>
      </c>
      <c r="O30" t="s">
        <v>43</v>
      </c>
      <c r="P30" t="str">
        <f t="shared" si="1"/>
        <v>Low</v>
      </c>
      <c r="Q30">
        <v>1.7408123791102622E-2</v>
      </c>
      <c r="R30" s="26">
        <v>800</v>
      </c>
      <c r="S30" s="6">
        <v>0</v>
      </c>
      <c r="T30" s="5" t="s">
        <v>74</v>
      </c>
      <c r="U30" t="s">
        <v>75</v>
      </c>
      <c r="V30" s="1" t="s">
        <v>47</v>
      </c>
      <c r="W30" s="25" t="s">
        <v>43</v>
      </c>
      <c r="X30" s="25">
        <v>0.75</v>
      </c>
      <c r="Y30" t="s">
        <v>76</v>
      </c>
      <c r="Z30" s="25">
        <v>50</v>
      </c>
      <c r="AA30" s="25">
        <v>10</v>
      </c>
      <c r="AB30" s="25">
        <v>5</v>
      </c>
      <c r="AC30" s="25">
        <v>0</v>
      </c>
      <c r="AD30" s="25">
        <v>0.1</v>
      </c>
      <c r="AE30" s="29">
        <v>0.5</v>
      </c>
      <c r="AF30" s="25">
        <v>20</v>
      </c>
      <c r="AG30" s="25">
        <v>0</v>
      </c>
      <c r="AH30" s="25">
        <v>0</v>
      </c>
      <c r="AI30" s="25">
        <v>0</v>
      </c>
      <c r="AJ30" s="25">
        <v>0</v>
      </c>
      <c r="AK30" s="29">
        <v>8.5</v>
      </c>
      <c r="AL30">
        <v>30</v>
      </c>
      <c r="AM30" t="s">
        <v>43</v>
      </c>
      <c r="AN30" t="s">
        <v>67</v>
      </c>
    </row>
    <row r="31" spans="1:40" ht="14.45">
      <c r="A31" s="4" t="s">
        <v>112</v>
      </c>
      <c r="B31">
        <v>1993</v>
      </c>
      <c r="C31">
        <v>20</v>
      </c>
      <c r="D31">
        <v>14</v>
      </c>
      <c r="E31">
        <v>12</v>
      </c>
      <c r="F31">
        <v>3</v>
      </c>
      <c r="G31">
        <v>18</v>
      </c>
      <c r="H31">
        <v>0</v>
      </c>
      <c r="I31" t="s">
        <v>100</v>
      </c>
      <c r="J31" t="s">
        <v>118</v>
      </c>
      <c r="K31" t="s">
        <v>154</v>
      </c>
      <c r="L31" t="s">
        <v>155</v>
      </c>
      <c r="M31" t="str">
        <f t="shared" si="0"/>
        <v>Panicum</v>
      </c>
      <c r="N31" s="7" t="s">
        <v>158</v>
      </c>
      <c r="O31" t="s">
        <v>43</v>
      </c>
      <c r="P31" t="str">
        <f t="shared" si="1"/>
        <v>Low</v>
      </c>
      <c r="Q31">
        <v>-0.04</v>
      </c>
      <c r="R31" s="25">
        <v>1200</v>
      </c>
      <c r="S31">
        <v>100</v>
      </c>
      <c r="T31" s="5" t="s">
        <v>114</v>
      </c>
      <c r="U31" s="1" t="s">
        <v>115</v>
      </c>
      <c r="V31" s="1" t="s">
        <v>47</v>
      </c>
      <c r="W31" s="25">
        <v>10</v>
      </c>
      <c r="X31" s="25">
        <v>0.5</v>
      </c>
      <c r="Y31" t="s">
        <v>48</v>
      </c>
      <c r="Z31" s="25">
        <v>100</v>
      </c>
      <c r="AA31" s="25">
        <v>28</v>
      </c>
      <c r="AB31" s="25">
        <v>1</v>
      </c>
      <c r="AC31" s="25">
        <v>0</v>
      </c>
      <c r="AD31" s="25">
        <v>1</v>
      </c>
      <c r="AE31" s="29" t="s">
        <v>43</v>
      </c>
      <c r="AF31" s="25">
        <v>20</v>
      </c>
      <c r="AG31" s="25">
        <v>0</v>
      </c>
      <c r="AH31" s="25">
        <v>2</v>
      </c>
      <c r="AI31" s="25">
        <v>0</v>
      </c>
      <c r="AJ31" s="25">
        <v>0</v>
      </c>
      <c r="AK31" s="29">
        <v>8</v>
      </c>
      <c r="AL31">
        <v>25</v>
      </c>
      <c r="AM31" t="s">
        <v>116</v>
      </c>
      <c r="AN31" t="s">
        <v>67</v>
      </c>
    </row>
    <row r="32" spans="1:40" ht="14.45">
      <c r="A32" s="4" t="s">
        <v>112</v>
      </c>
      <c r="B32">
        <v>1993</v>
      </c>
      <c r="C32">
        <v>20</v>
      </c>
      <c r="D32">
        <v>14</v>
      </c>
      <c r="E32">
        <v>12</v>
      </c>
      <c r="F32">
        <v>3</v>
      </c>
      <c r="G32">
        <v>20</v>
      </c>
      <c r="H32">
        <v>0</v>
      </c>
      <c r="I32" t="s">
        <v>100</v>
      </c>
      <c r="J32" t="s">
        <v>118</v>
      </c>
      <c r="K32" t="s">
        <v>154</v>
      </c>
      <c r="L32" t="s">
        <v>155</v>
      </c>
      <c r="M32" t="str">
        <f t="shared" si="0"/>
        <v>Urochloa</v>
      </c>
      <c r="N32" s="7" t="s">
        <v>159</v>
      </c>
      <c r="O32" t="s">
        <v>160</v>
      </c>
      <c r="P32" t="str">
        <f t="shared" si="1"/>
        <v>Low</v>
      </c>
      <c r="Q32">
        <v>-0.02</v>
      </c>
      <c r="R32" s="25">
        <v>1200</v>
      </c>
      <c r="S32">
        <v>100</v>
      </c>
      <c r="T32" s="5" t="s">
        <v>114</v>
      </c>
      <c r="U32" s="1" t="s">
        <v>115</v>
      </c>
      <c r="V32" s="1" t="s">
        <v>47</v>
      </c>
      <c r="W32" s="25">
        <v>10</v>
      </c>
      <c r="X32" s="25">
        <v>0.5</v>
      </c>
      <c r="Y32" t="s">
        <v>48</v>
      </c>
      <c r="Z32" s="25">
        <v>100</v>
      </c>
      <c r="AA32" s="25">
        <v>28</v>
      </c>
      <c r="AB32" s="25">
        <v>1</v>
      </c>
      <c r="AC32" s="25">
        <v>0</v>
      </c>
      <c r="AD32" s="25">
        <v>1</v>
      </c>
      <c r="AE32" s="29" t="s">
        <v>43</v>
      </c>
      <c r="AF32" s="25">
        <v>20</v>
      </c>
      <c r="AG32" s="25">
        <v>0</v>
      </c>
      <c r="AH32" s="25">
        <v>2</v>
      </c>
      <c r="AI32" s="25">
        <v>0</v>
      </c>
      <c r="AJ32" s="25">
        <v>0</v>
      </c>
      <c r="AK32" s="29">
        <v>8</v>
      </c>
      <c r="AL32">
        <v>25</v>
      </c>
      <c r="AM32" t="s">
        <v>116</v>
      </c>
      <c r="AN32" t="s">
        <v>67</v>
      </c>
    </row>
    <row r="33" spans="1:40" ht="14.45">
      <c r="A33" s="4" t="s">
        <v>68</v>
      </c>
      <c r="B33">
        <v>1984</v>
      </c>
      <c r="C33">
        <v>20</v>
      </c>
      <c r="D33">
        <v>14</v>
      </c>
      <c r="E33">
        <v>12</v>
      </c>
      <c r="F33">
        <v>3</v>
      </c>
      <c r="G33">
        <v>21</v>
      </c>
      <c r="H33">
        <v>0</v>
      </c>
      <c r="I33" t="s">
        <v>100</v>
      </c>
      <c r="J33" t="s">
        <v>118</v>
      </c>
      <c r="K33" t="s">
        <v>154</v>
      </c>
      <c r="L33" t="s">
        <v>155</v>
      </c>
      <c r="M33" t="str">
        <f t="shared" si="0"/>
        <v>Megathyrsus</v>
      </c>
      <c r="N33" s="7" t="s">
        <v>161</v>
      </c>
      <c r="O33" t="s">
        <v>43</v>
      </c>
      <c r="P33" t="str">
        <f t="shared" si="1"/>
        <v>High</v>
      </c>
      <c r="Q33">
        <v>0.61324786324786329</v>
      </c>
      <c r="R33" s="27">
        <v>1000</v>
      </c>
      <c r="S33" s="6">
        <v>0</v>
      </c>
      <c r="T33" s="5" t="s">
        <v>74</v>
      </c>
      <c r="U33" t="s">
        <v>75</v>
      </c>
      <c r="V33" s="1" t="s">
        <v>47</v>
      </c>
      <c r="W33" s="25" t="s">
        <v>43</v>
      </c>
      <c r="X33" s="25">
        <v>0.75</v>
      </c>
      <c r="Y33" t="s">
        <v>76</v>
      </c>
      <c r="Z33" s="25">
        <v>50</v>
      </c>
      <c r="AA33" s="25">
        <v>10</v>
      </c>
      <c r="AB33" s="25">
        <v>5</v>
      </c>
      <c r="AC33" s="25">
        <v>0</v>
      </c>
      <c r="AD33" s="25">
        <v>0.1</v>
      </c>
      <c r="AE33" s="29">
        <v>0.5</v>
      </c>
      <c r="AF33" s="25">
        <v>20</v>
      </c>
      <c r="AG33" s="25">
        <v>0</v>
      </c>
      <c r="AH33" s="25">
        <v>0</v>
      </c>
      <c r="AI33" s="25">
        <v>0</v>
      </c>
      <c r="AJ33" s="25">
        <v>0</v>
      </c>
      <c r="AK33" s="29">
        <v>8.5</v>
      </c>
      <c r="AL33">
        <v>30</v>
      </c>
      <c r="AM33" t="s">
        <v>43</v>
      </c>
      <c r="AN33" t="s">
        <v>67</v>
      </c>
    </row>
    <row r="34" spans="1:40" ht="14.45">
      <c r="A34" s="4" t="s">
        <v>112</v>
      </c>
      <c r="B34">
        <v>1993</v>
      </c>
      <c r="C34">
        <v>20</v>
      </c>
      <c r="D34">
        <v>14</v>
      </c>
      <c r="E34">
        <v>12</v>
      </c>
      <c r="F34">
        <v>3</v>
      </c>
      <c r="G34">
        <v>21</v>
      </c>
      <c r="H34">
        <v>0</v>
      </c>
      <c r="I34" t="s">
        <v>100</v>
      </c>
      <c r="J34" t="s">
        <v>118</v>
      </c>
      <c r="K34" t="s">
        <v>154</v>
      </c>
      <c r="L34" t="s">
        <v>155</v>
      </c>
      <c r="M34" t="str">
        <f t="shared" si="0"/>
        <v>Megathyrsus</v>
      </c>
      <c r="N34" s="7" t="s">
        <v>161</v>
      </c>
      <c r="O34" t="s">
        <v>43</v>
      </c>
      <c r="P34" t="str">
        <f t="shared" si="1"/>
        <v>Low</v>
      </c>
      <c r="Q34">
        <v>0.13</v>
      </c>
      <c r="R34" s="25">
        <v>1200</v>
      </c>
      <c r="S34">
        <v>100</v>
      </c>
      <c r="T34" s="5" t="s">
        <v>114</v>
      </c>
      <c r="U34" s="1" t="s">
        <v>115</v>
      </c>
      <c r="V34" s="1" t="s">
        <v>47</v>
      </c>
      <c r="W34" s="25">
        <v>10</v>
      </c>
      <c r="X34" s="25">
        <v>0.5</v>
      </c>
      <c r="Y34" t="s">
        <v>48</v>
      </c>
      <c r="Z34" s="25">
        <v>100</v>
      </c>
      <c r="AA34" s="25">
        <v>28</v>
      </c>
      <c r="AB34" s="25">
        <v>1</v>
      </c>
      <c r="AC34" s="25">
        <v>0</v>
      </c>
      <c r="AD34" s="25">
        <v>1</v>
      </c>
      <c r="AE34" s="29" t="s">
        <v>43</v>
      </c>
      <c r="AF34" s="25">
        <v>20</v>
      </c>
      <c r="AG34" s="25">
        <v>0</v>
      </c>
      <c r="AH34" s="25">
        <v>2</v>
      </c>
      <c r="AI34" s="25">
        <v>0</v>
      </c>
      <c r="AJ34" s="25">
        <v>0</v>
      </c>
      <c r="AK34" s="29">
        <v>8</v>
      </c>
      <c r="AL34">
        <v>25</v>
      </c>
      <c r="AM34" t="s">
        <v>116</v>
      </c>
      <c r="AN34" t="s">
        <v>67</v>
      </c>
    </row>
    <row r="35" spans="1:40" ht="14.45">
      <c r="A35" s="4" t="s">
        <v>112</v>
      </c>
      <c r="B35">
        <v>1993</v>
      </c>
      <c r="C35">
        <v>20</v>
      </c>
      <c r="D35">
        <v>14</v>
      </c>
      <c r="E35">
        <v>12</v>
      </c>
      <c r="F35">
        <v>3</v>
      </c>
      <c r="G35">
        <v>36</v>
      </c>
      <c r="H35">
        <v>0</v>
      </c>
      <c r="I35" t="s">
        <v>100</v>
      </c>
      <c r="J35" t="s">
        <v>118</v>
      </c>
      <c r="K35" t="s">
        <v>154</v>
      </c>
      <c r="L35" t="s">
        <v>155</v>
      </c>
      <c r="M35" t="str">
        <f t="shared" si="0"/>
        <v>Digitaria</v>
      </c>
      <c r="N35" s="7" t="s">
        <v>162</v>
      </c>
      <c r="O35" t="s">
        <v>43</v>
      </c>
      <c r="P35" t="str">
        <f t="shared" si="1"/>
        <v>Low</v>
      </c>
      <c r="Q35">
        <v>0.05</v>
      </c>
      <c r="R35" s="25">
        <v>1200</v>
      </c>
      <c r="S35">
        <v>100</v>
      </c>
      <c r="T35" s="5" t="s">
        <v>114</v>
      </c>
      <c r="U35" s="1" t="s">
        <v>115</v>
      </c>
      <c r="V35" s="1" t="s">
        <v>47</v>
      </c>
      <c r="W35" s="25">
        <v>10</v>
      </c>
      <c r="X35" s="25">
        <v>0.5</v>
      </c>
      <c r="Y35" t="s">
        <v>48</v>
      </c>
      <c r="Z35" s="25">
        <v>100</v>
      </c>
      <c r="AA35" s="25">
        <v>28</v>
      </c>
      <c r="AB35" s="25">
        <v>1</v>
      </c>
      <c r="AC35" s="25">
        <v>0</v>
      </c>
      <c r="AD35" s="25">
        <v>1</v>
      </c>
      <c r="AE35" s="29" t="s">
        <v>43</v>
      </c>
      <c r="AF35" s="25">
        <v>20</v>
      </c>
      <c r="AG35" s="25">
        <v>0</v>
      </c>
      <c r="AH35" s="25">
        <v>2</v>
      </c>
      <c r="AI35" s="25">
        <v>0</v>
      </c>
      <c r="AJ35" s="25">
        <v>0</v>
      </c>
      <c r="AK35" s="29">
        <v>8</v>
      </c>
      <c r="AL35">
        <v>25</v>
      </c>
      <c r="AM35" t="s">
        <v>116</v>
      </c>
      <c r="AN35" t="s">
        <v>67</v>
      </c>
    </row>
    <row r="36" spans="1:40" ht="14.45">
      <c r="A36" s="4" t="s">
        <v>112</v>
      </c>
      <c r="B36">
        <v>1993</v>
      </c>
      <c r="C36">
        <v>20</v>
      </c>
      <c r="D36">
        <v>14</v>
      </c>
      <c r="E36">
        <v>12</v>
      </c>
      <c r="F36">
        <v>4</v>
      </c>
      <c r="G36">
        <v>4</v>
      </c>
      <c r="H36">
        <v>0</v>
      </c>
      <c r="I36" t="s">
        <v>100</v>
      </c>
      <c r="J36" t="s">
        <v>118</v>
      </c>
      <c r="K36" t="s">
        <v>154</v>
      </c>
      <c r="L36" t="s">
        <v>163</v>
      </c>
      <c r="M36" t="str">
        <f t="shared" si="0"/>
        <v>Rugoloa</v>
      </c>
      <c r="N36" s="7" t="s">
        <v>164</v>
      </c>
      <c r="O36" t="s">
        <v>43</v>
      </c>
      <c r="P36" t="str">
        <f t="shared" si="1"/>
        <v>Low</v>
      </c>
      <c r="Q36">
        <v>-0.04</v>
      </c>
      <c r="R36" s="25">
        <v>1200</v>
      </c>
      <c r="S36">
        <v>100</v>
      </c>
      <c r="T36" s="5" t="s">
        <v>114</v>
      </c>
      <c r="U36" s="1" t="s">
        <v>115</v>
      </c>
      <c r="V36" s="1" t="s">
        <v>47</v>
      </c>
      <c r="W36" s="25">
        <v>10</v>
      </c>
      <c r="X36" s="25">
        <v>0.5</v>
      </c>
      <c r="Y36" t="s">
        <v>48</v>
      </c>
      <c r="Z36" s="25">
        <v>100</v>
      </c>
      <c r="AA36" s="25">
        <v>28</v>
      </c>
      <c r="AB36" s="25">
        <v>1</v>
      </c>
      <c r="AC36" s="25">
        <v>0</v>
      </c>
      <c r="AD36" s="25">
        <v>1</v>
      </c>
      <c r="AE36" s="29" t="s">
        <v>43</v>
      </c>
      <c r="AF36" s="25">
        <v>20</v>
      </c>
      <c r="AG36" s="25">
        <v>0</v>
      </c>
      <c r="AH36" s="25">
        <v>2</v>
      </c>
      <c r="AI36" s="25">
        <v>0</v>
      </c>
      <c r="AJ36" s="25">
        <v>0</v>
      </c>
      <c r="AK36" s="29">
        <v>8</v>
      </c>
      <c r="AL36">
        <v>25</v>
      </c>
      <c r="AM36" t="s">
        <v>116</v>
      </c>
      <c r="AN36" t="s">
        <v>67</v>
      </c>
    </row>
    <row r="37" spans="1:40" ht="14.45">
      <c r="A37" s="4" t="s">
        <v>68</v>
      </c>
      <c r="B37">
        <v>1984</v>
      </c>
      <c r="C37">
        <v>20</v>
      </c>
      <c r="D37">
        <v>14</v>
      </c>
      <c r="E37">
        <v>12</v>
      </c>
      <c r="F37">
        <v>4</v>
      </c>
      <c r="G37">
        <v>4</v>
      </c>
      <c r="H37">
        <v>0</v>
      </c>
      <c r="I37" t="s">
        <v>100</v>
      </c>
      <c r="J37" t="s">
        <v>118</v>
      </c>
      <c r="K37" t="s">
        <v>154</v>
      </c>
      <c r="L37" t="s">
        <v>163</v>
      </c>
      <c r="M37" t="str">
        <f t="shared" si="0"/>
        <v>Rugoloa</v>
      </c>
      <c r="N37" s="7" t="s">
        <v>165</v>
      </c>
      <c r="O37" t="s">
        <v>43</v>
      </c>
      <c r="P37" t="str">
        <f t="shared" si="1"/>
        <v>Moderate</v>
      </c>
      <c r="Q37">
        <v>0.24000000000000005</v>
      </c>
      <c r="R37" s="26">
        <v>800</v>
      </c>
      <c r="S37" s="6">
        <v>0</v>
      </c>
      <c r="T37" s="5" t="s">
        <v>74</v>
      </c>
      <c r="U37" t="s">
        <v>75</v>
      </c>
      <c r="V37" s="1" t="s">
        <v>47</v>
      </c>
      <c r="W37" s="25" t="s">
        <v>43</v>
      </c>
      <c r="X37" s="25">
        <v>0.75</v>
      </c>
      <c r="Y37" t="s">
        <v>76</v>
      </c>
      <c r="Z37" s="25">
        <v>50</v>
      </c>
      <c r="AA37" s="25">
        <v>10</v>
      </c>
      <c r="AB37" s="25">
        <v>5</v>
      </c>
      <c r="AC37" s="25">
        <v>0</v>
      </c>
      <c r="AD37" s="25">
        <v>0.1</v>
      </c>
      <c r="AE37" s="29">
        <v>0.5</v>
      </c>
      <c r="AF37" s="25">
        <v>20</v>
      </c>
      <c r="AG37" s="25">
        <v>0</v>
      </c>
      <c r="AH37" s="25">
        <v>0</v>
      </c>
      <c r="AI37" s="25">
        <v>0</v>
      </c>
      <c r="AJ37" s="25">
        <v>0</v>
      </c>
      <c r="AK37" s="29">
        <v>8.5</v>
      </c>
      <c r="AL37">
        <v>30</v>
      </c>
      <c r="AM37" t="s">
        <v>43</v>
      </c>
      <c r="AN37" t="s">
        <v>67</v>
      </c>
    </row>
    <row r="38" spans="1:40" ht="14.45">
      <c r="A38" s="4" t="s">
        <v>68</v>
      </c>
      <c r="B38">
        <v>1984</v>
      </c>
      <c r="C38">
        <v>20</v>
      </c>
      <c r="D38">
        <v>14</v>
      </c>
      <c r="E38">
        <v>12</v>
      </c>
      <c r="F38">
        <v>4</v>
      </c>
      <c r="G38">
        <v>5</v>
      </c>
      <c r="H38">
        <v>0</v>
      </c>
      <c r="I38" t="s">
        <v>100</v>
      </c>
      <c r="J38" t="s">
        <v>118</v>
      </c>
      <c r="K38" t="s">
        <v>154</v>
      </c>
      <c r="L38" t="s">
        <v>163</v>
      </c>
      <c r="M38" t="str">
        <f t="shared" si="0"/>
        <v>Steinchisma</v>
      </c>
      <c r="N38" s="7" t="s">
        <v>166</v>
      </c>
      <c r="O38" t="s">
        <v>43</v>
      </c>
      <c r="P38" t="str">
        <f t="shared" si="1"/>
        <v>Moderate</v>
      </c>
      <c r="Q38">
        <v>0.33919999999999995</v>
      </c>
      <c r="R38" s="26">
        <v>800</v>
      </c>
      <c r="S38" s="6">
        <v>0</v>
      </c>
      <c r="T38" s="5" t="s">
        <v>74</v>
      </c>
      <c r="U38" t="s">
        <v>75</v>
      </c>
      <c r="V38" s="1" t="s">
        <v>47</v>
      </c>
      <c r="W38" s="25" t="s">
        <v>43</v>
      </c>
      <c r="X38" s="25">
        <v>0.75</v>
      </c>
      <c r="Y38" t="s">
        <v>76</v>
      </c>
      <c r="Z38" s="25">
        <v>50</v>
      </c>
      <c r="AA38" s="25">
        <v>10</v>
      </c>
      <c r="AB38" s="25">
        <v>5</v>
      </c>
      <c r="AC38" s="25">
        <v>0</v>
      </c>
      <c r="AD38" s="25">
        <v>0.1</v>
      </c>
      <c r="AE38" s="29">
        <v>0.5</v>
      </c>
      <c r="AF38" s="25">
        <v>20</v>
      </c>
      <c r="AG38" s="25">
        <v>0</v>
      </c>
      <c r="AH38" s="25">
        <v>0</v>
      </c>
      <c r="AI38" s="25">
        <v>0</v>
      </c>
      <c r="AJ38" s="25">
        <v>0</v>
      </c>
      <c r="AK38" s="29">
        <v>8.5</v>
      </c>
      <c r="AL38">
        <v>30</v>
      </c>
      <c r="AM38" t="s">
        <v>43</v>
      </c>
      <c r="AN38" t="s">
        <v>67</v>
      </c>
    </row>
    <row r="39" spans="1:40" ht="14.45">
      <c r="A39" s="4" t="s">
        <v>112</v>
      </c>
      <c r="B39">
        <v>1993</v>
      </c>
      <c r="C39">
        <v>20</v>
      </c>
      <c r="D39">
        <v>14</v>
      </c>
      <c r="E39">
        <v>12</v>
      </c>
      <c r="F39">
        <v>4</v>
      </c>
      <c r="G39">
        <v>5</v>
      </c>
      <c r="H39">
        <v>0</v>
      </c>
      <c r="I39" t="s">
        <v>100</v>
      </c>
      <c r="J39" t="s">
        <v>118</v>
      </c>
      <c r="K39" t="s">
        <v>154</v>
      </c>
      <c r="L39" t="s">
        <v>163</v>
      </c>
      <c r="M39" t="str">
        <f t="shared" si="0"/>
        <v>Steinchisma</v>
      </c>
      <c r="N39" s="7" t="s">
        <v>166</v>
      </c>
      <c r="O39" t="s">
        <v>43</v>
      </c>
      <c r="P39" t="str">
        <f t="shared" si="1"/>
        <v>Low</v>
      </c>
      <c r="Q39">
        <v>-0.14000000000000001</v>
      </c>
      <c r="R39" s="25">
        <v>1200</v>
      </c>
      <c r="S39">
        <v>100</v>
      </c>
      <c r="T39" s="5" t="s">
        <v>114</v>
      </c>
      <c r="U39" s="1" t="s">
        <v>115</v>
      </c>
      <c r="V39" s="1" t="s">
        <v>47</v>
      </c>
      <c r="W39" s="25">
        <v>10</v>
      </c>
      <c r="X39" s="25">
        <v>0.5</v>
      </c>
      <c r="Y39" t="s">
        <v>48</v>
      </c>
      <c r="Z39" s="25">
        <v>100</v>
      </c>
      <c r="AA39" s="25">
        <v>28</v>
      </c>
      <c r="AB39" s="25">
        <v>1</v>
      </c>
      <c r="AC39" s="25">
        <v>0</v>
      </c>
      <c r="AD39" s="25">
        <v>1</v>
      </c>
      <c r="AE39" s="29" t="s">
        <v>43</v>
      </c>
      <c r="AF39" s="25">
        <v>20</v>
      </c>
      <c r="AG39" s="25">
        <v>0</v>
      </c>
      <c r="AH39" s="25">
        <v>2</v>
      </c>
      <c r="AI39" s="25">
        <v>0</v>
      </c>
      <c r="AJ39" s="25">
        <v>0</v>
      </c>
      <c r="AK39" s="29">
        <v>8</v>
      </c>
      <c r="AL39">
        <v>25</v>
      </c>
      <c r="AM39" t="s">
        <v>116</v>
      </c>
      <c r="AN39" t="s">
        <v>67</v>
      </c>
    </row>
    <row r="40" spans="1:40" ht="14.45">
      <c r="A40" s="4" t="s">
        <v>112</v>
      </c>
      <c r="B40">
        <v>1993</v>
      </c>
      <c r="C40">
        <v>20</v>
      </c>
      <c r="D40">
        <v>14</v>
      </c>
      <c r="E40">
        <v>12</v>
      </c>
      <c r="F40">
        <v>4</v>
      </c>
      <c r="G40">
        <v>33</v>
      </c>
      <c r="H40">
        <v>0</v>
      </c>
      <c r="I40" t="s">
        <v>100</v>
      </c>
      <c r="J40" t="s">
        <v>118</v>
      </c>
      <c r="K40" t="s">
        <v>154</v>
      </c>
      <c r="L40" t="s">
        <v>163</v>
      </c>
      <c r="M40" t="str">
        <f t="shared" si="0"/>
        <v>Paspalum</v>
      </c>
      <c r="N40" s="7" t="s">
        <v>167</v>
      </c>
      <c r="O40" t="s">
        <v>43</v>
      </c>
      <c r="P40" t="str">
        <f t="shared" si="1"/>
        <v>Low</v>
      </c>
      <c r="Q40">
        <v>-0.04</v>
      </c>
      <c r="R40" s="25">
        <v>1200</v>
      </c>
      <c r="S40">
        <v>100</v>
      </c>
      <c r="T40" s="5" t="s">
        <v>114</v>
      </c>
      <c r="U40" s="1" t="s">
        <v>115</v>
      </c>
      <c r="V40" s="1" t="s">
        <v>47</v>
      </c>
      <c r="W40" s="25">
        <v>10</v>
      </c>
      <c r="X40" s="25">
        <v>0.5</v>
      </c>
      <c r="Y40" t="s">
        <v>48</v>
      </c>
      <c r="Z40" s="25">
        <v>100</v>
      </c>
      <c r="AA40" s="25">
        <v>28</v>
      </c>
      <c r="AB40" s="25">
        <v>1</v>
      </c>
      <c r="AC40" s="25">
        <v>0</v>
      </c>
      <c r="AD40" s="25">
        <v>1</v>
      </c>
      <c r="AE40" s="29" t="s">
        <v>43</v>
      </c>
      <c r="AF40" s="25">
        <v>20</v>
      </c>
      <c r="AG40" s="25">
        <v>0</v>
      </c>
      <c r="AH40" s="25">
        <v>2</v>
      </c>
      <c r="AI40" s="25">
        <v>0</v>
      </c>
      <c r="AJ40" s="25">
        <v>0</v>
      </c>
      <c r="AK40" s="29">
        <v>8</v>
      </c>
      <c r="AL40">
        <v>25</v>
      </c>
      <c r="AM40" t="s">
        <v>116</v>
      </c>
      <c r="AN40" t="s">
        <v>67</v>
      </c>
    </row>
    <row r="41" spans="1:40">
      <c r="A41" s="4" t="s">
        <v>146</v>
      </c>
      <c r="B41">
        <v>2010</v>
      </c>
      <c r="C41">
        <v>20</v>
      </c>
      <c r="D41">
        <v>14</v>
      </c>
      <c r="E41">
        <v>12</v>
      </c>
      <c r="F41">
        <v>4</v>
      </c>
      <c r="G41">
        <v>33</v>
      </c>
      <c r="H41">
        <v>0</v>
      </c>
      <c r="I41" t="s">
        <v>100</v>
      </c>
      <c r="J41" t="s">
        <v>118</v>
      </c>
      <c r="K41" t="s">
        <v>154</v>
      </c>
      <c r="L41" t="s">
        <v>163</v>
      </c>
      <c r="M41" t="str">
        <f t="shared" si="0"/>
        <v>Paspalum</v>
      </c>
      <c r="N41" s="7" t="s">
        <v>167</v>
      </c>
      <c r="O41" t="s">
        <v>168</v>
      </c>
      <c r="P41" t="str">
        <f t="shared" si="1"/>
        <v>Low</v>
      </c>
      <c r="Q41">
        <f>1-(2.03/2.11)</f>
        <v>3.791469194312802E-2</v>
      </c>
      <c r="R41" s="25">
        <v>500</v>
      </c>
      <c r="S41">
        <v>0</v>
      </c>
      <c r="T41" s="5" t="s">
        <v>148</v>
      </c>
      <c r="U41" s="3" t="s">
        <v>149</v>
      </c>
      <c r="V41" s="1" t="s">
        <v>47</v>
      </c>
      <c r="W41" s="25" t="s">
        <v>43</v>
      </c>
      <c r="X41" s="25" t="s">
        <v>43</v>
      </c>
      <c r="Y41" t="s">
        <v>48</v>
      </c>
      <c r="Z41" s="25">
        <v>100</v>
      </c>
      <c r="AA41" s="25">
        <v>20</v>
      </c>
      <c r="AB41" s="25">
        <v>0.5</v>
      </c>
      <c r="AC41" s="25">
        <v>2</v>
      </c>
      <c r="AD41" s="25">
        <v>0.05</v>
      </c>
      <c r="AE41" s="29">
        <v>0.4</v>
      </c>
      <c r="AF41" s="25">
        <v>10</v>
      </c>
      <c r="AG41" s="25">
        <v>0</v>
      </c>
      <c r="AH41" s="25">
        <v>0</v>
      </c>
      <c r="AI41" s="25">
        <v>0</v>
      </c>
      <c r="AJ41" s="25">
        <v>0</v>
      </c>
      <c r="AK41" s="29">
        <v>8.1999999999999993</v>
      </c>
      <c r="AL41">
        <v>25</v>
      </c>
      <c r="AM41" t="s">
        <v>150</v>
      </c>
      <c r="AN41" t="s">
        <v>67</v>
      </c>
    </row>
    <row r="42" spans="1:40" ht="14.45">
      <c r="A42" s="4" t="s">
        <v>68</v>
      </c>
      <c r="B42">
        <v>1984</v>
      </c>
      <c r="C42">
        <v>20</v>
      </c>
      <c r="D42">
        <v>14</v>
      </c>
      <c r="E42">
        <v>12</v>
      </c>
      <c r="F42">
        <v>6</v>
      </c>
      <c r="G42">
        <v>7</v>
      </c>
      <c r="H42">
        <v>0</v>
      </c>
      <c r="I42" t="s">
        <v>100</v>
      </c>
      <c r="J42" t="s">
        <v>118</v>
      </c>
      <c r="K42" t="s">
        <v>154</v>
      </c>
      <c r="L42" t="s">
        <v>169</v>
      </c>
      <c r="M42" t="str">
        <f t="shared" si="0"/>
        <v>Zea</v>
      </c>
      <c r="N42" s="7" t="s">
        <v>170</v>
      </c>
      <c r="O42" t="s">
        <v>171</v>
      </c>
      <c r="P42" t="str">
        <f t="shared" si="1"/>
        <v>Low</v>
      </c>
      <c r="Q42">
        <v>-5.5331991951709973E-3</v>
      </c>
      <c r="R42" s="27">
        <v>1000</v>
      </c>
      <c r="S42" s="6">
        <v>0</v>
      </c>
      <c r="T42" s="5" t="s">
        <v>74</v>
      </c>
      <c r="U42" t="s">
        <v>75</v>
      </c>
      <c r="V42" s="1" t="s">
        <v>47</v>
      </c>
      <c r="W42" s="25" t="s">
        <v>43</v>
      </c>
      <c r="X42" s="25">
        <v>0.75</v>
      </c>
      <c r="Y42" t="s">
        <v>76</v>
      </c>
      <c r="Z42" s="25">
        <v>50</v>
      </c>
      <c r="AA42" s="25">
        <v>10</v>
      </c>
      <c r="AB42" s="25">
        <v>5</v>
      </c>
      <c r="AC42" s="25">
        <v>0</v>
      </c>
      <c r="AD42" s="25">
        <v>0.1</v>
      </c>
      <c r="AE42" s="29">
        <v>0.5</v>
      </c>
      <c r="AF42" s="25">
        <v>20</v>
      </c>
      <c r="AG42" s="25">
        <v>0</v>
      </c>
      <c r="AH42" s="25">
        <v>0</v>
      </c>
      <c r="AI42" s="25">
        <v>0</v>
      </c>
      <c r="AJ42" s="25">
        <v>0</v>
      </c>
      <c r="AK42" s="29">
        <v>8.5</v>
      </c>
      <c r="AL42">
        <v>30</v>
      </c>
      <c r="AM42" t="s">
        <v>43</v>
      </c>
      <c r="AN42" t="s">
        <v>67</v>
      </c>
    </row>
    <row r="43" spans="1:40" ht="14.45">
      <c r="A43" s="4" t="s">
        <v>68</v>
      </c>
      <c r="B43">
        <v>1984</v>
      </c>
      <c r="C43">
        <v>20</v>
      </c>
      <c r="D43">
        <v>14</v>
      </c>
      <c r="E43">
        <v>12</v>
      </c>
      <c r="F43">
        <v>6</v>
      </c>
      <c r="G43">
        <v>7</v>
      </c>
      <c r="H43">
        <v>0</v>
      </c>
      <c r="I43" t="s">
        <v>100</v>
      </c>
      <c r="J43" t="s">
        <v>118</v>
      </c>
      <c r="K43" t="s">
        <v>154</v>
      </c>
      <c r="L43" t="s">
        <v>169</v>
      </c>
      <c r="M43" t="str">
        <f t="shared" si="0"/>
        <v>Zea</v>
      </c>
      <c r="N43" s="7" t="s">
        <v>170</v>
      </c>
      <c r="O43" t="s">
        <v>171</v>
      </c>
      <c r="P43" t="str">
        <f t="shared" si="1"/>
        <v>Low</v>
      </c>
      <c r="Q43">
        <v>6.2996439331690253E-3</v>
      </c>
      <c r="R43" s="26">
        <v>1000</v>
      </c>
      <c r="S43" s="6">
        <v>0</v>
      </c>
      <c r="T43" s="5" t="s">
        <v>74</v>
      </c>
      <c r="U43" t="s">
        <v>75</v>
      </c>
      <c r="V43" s="1" t="s">
        <v>47</v>
      </c>
      <c r="W43" s="25" t="s">
        <v>43</v>
      </c>
      <c r="X43" s="25">
        <v>0.75</v>
      </c>
      <c r="Y43" t="s">
        <v>76</v>
      </c>
      <c r="Z43" s="25">
        <v>50</v>
      </c>
      <c r="AA43" s="25">
        <v>10</v>
      </c>
      <c r="AB43" s="25">
        <v>5</v>
      </c>
      <c r="AC43" s="25">
        <v>0</v>
      </c>
      <c r="AD43" s="25">
        <v>0.1</v>
      </c>
      <c r="AE43" s="29">
        <v>0.5</v>
      </c>
      <c r="AF43" s="25">
        <v>20</v>
      </c>
      <c r="AG43" s="25">
        <v>0</v>
      </c>
      <c r="AH43" s="25">
        <v>0</v>
      </c>
      <c r="AI43" s="25">
        <v>0</v>
      </c>
      <c r="AJ43" s="25">
        <v>0</v>
      </c>
      <c r="AK43" s="29">
        <v>8.5</v>
      </c>
      <c r="AL43">
        <v>30</v>
      </c>
      <c r="AM43" t="s">
        <v>43</v>
      </c>
      <c r="AN43" t="s">
        <v>67</v>
      </c>
    </row>
    <row r="44" spans="1:40">
      <c r="A44" s="4" t="s">
        <v>172</v>
      </c>
      <c r="B44">
        <v>1985</v>
      </c>
      <c r="C44">
        <v>20</v>
      </c>
      <c r="D44">
        <v>14</v>
      </c>
      <c r="E44">
        <v>12</v>
      </c>
      <c r="F44">
        <v>6</v>
      </c>
      <c r="G44">
        <v>7</v>
      </c>
      <c r="H44">
        <v>0</v>
      </c>
      <c r="I44" t="s">
        <v>100</v>
      </c>
      <c r="J44" t="s">
        <v>118</v>
      </c>
      <c r="K44" t="s">
        <v>154</v>
      </c>
      <c r="L44" t="s">
        <v>169</v>
      </c>
      <c r="M44" t="str">
        <f t="shared" si="0"/>
        <v>Zea</v>
      </c>
      <c r="N44" s="7" t="s">
        <v>170</v>
      </c>
      <c r="O44" t="s">
        <v>43</v>
      </c>
      <c r="P44" t="str">
        <f t="shared" si="1"/>
        <v>Low</v>
      </c>
      <c r="Q44">
        <v>0.09</v>
      </c>
      <c r="R44" s="25">
        <v>1000</v>
      </c>
      <c r="S44">
        <v>0</v>
      </c>
      <c r="T44" s="5" t="s">
        <v>173</v>
      </c>
      <c r="U44" s="2" t="s">
        <v>88</v>
      </c>
      <c r="V44" s="1" t="s">
        <v>47</v>
      </c>
      <c r="W44" s="25">
        <v>10</v>
      </c>
      <c r="X44" s="25">
        <v>0.5</v>
      </c>
      <c r="Y44" t="s">
        <v>48</v>
      </c>
      <c r="Z44" s="25">
        <v>100</v>
      </c>
      <c r="AA44" s="25">
        <v>20</v>
      </c>
      <c r="AB44" s="25">
        <v>5</v>
      </c>
      <c r="AC44" s="25" t="s">
        <v>43</v>
      </c>
      <c r="AD44" s="25">
        <v>0.1</v>
      </c>
      <c r="AE44" s="29">
        <v>0.5</v>
      </c>
      <c r="AF44" s="25">
        <v>10</v>
      </c>
      <c r="AG44" s="25">
        <v>0</v>
      </c>
      <c r="AH44" s="25">
        <v>0</v>
      </c>
      <c r="AI44" s="25">
        <v>0</v>
      </c>
      <c r="AJ44" s="25">
        <v>0</v>
      </c>
      <c r="AK44" s="29">
        <v>7.8</v>
      </c>
      <c r="AL44">
        <v>25</v>
      </c>
      <c r="AM44" t="s">
        <v>43</v>
      </c>
      <c r="AN44" t="s">
        <v>67</v>
      </c>
    </row>
    <row r="45" spans="1:40">
      <c r="A45" s="4" t="s">
        <v>105</v>
      </c>
      <c r="B45">
        <v>1986</v>
      </c>
      <c r="C45">
        <v>20</v>
      </c>
      <c r="D45">
        <v>14</v>
      </c>
      <c r="E45">
        <v>12</v>
      </c>
      <c r="F45">
        <v>6</v>
      </c>
      <c r="G45">
        <v>7</v>
      </c>
      <c r="H45">
        <v>0</v>
      </c>
      <c r="I45" t="s">
        <v>100</v>
      </c>
      <c r="J45" t="s">
        <v>118</v>
      </c>
      <c r="K45" t="s">
        <v>154</v>
      </c>
      <c r="L45" t="s">
        <v>169</v>
      </c>
      <c r="M45" t="str">
        <f t="shared" si="0"/>
        <v>Zea</v>
      </c>
      <c r="N45" s="7" t="s">
        <v>170</v>
      </c>
      <c r="O45" t="s">
        <v>43</v>
      </c>
      <c r="P45" t="str">
        <f t="shared" si="1"/>
        <v>Low</v>
      </c>
      <c r="Q45">
        <v>-5.500000000000016E-2</v>
      </c>
      <c r="R45" s="25">
        <v>1000</v>
      </c>
      <c r="S45">
        <v>10</v>
      </c>
      <c r="T45" s="5" t="s">
        <v>110</v>
      </c>
      <c r="U45" s="1" t="s">
        <v>111</v>
      </c>
      <c r="V45" s="1" t="s">
        <v>47</v>
      </c>
      <c r="W45" s="25">
        <v>10</v>
      </c>
      <c r="X45" s="25">
        <v>0.5</v>
      </c>
      <c r="Y45" t="s">
        <v>48</v>
      </c>
      <c r="Z45" s="25">
        <v>100</v>
      </c>
      <c r="AA45" s="25">
        <v>5</v>
      </c>
      <c r="AB45" s="25">
        <v>0</v>
      </c>
      <c r="AC45" s="25">
        <v>5</v>
      </c>
      <c r="AD45" s="25">
        <v>0</v>
      </c>
      <c r="AE45" s="29">
        <v>0.66</v>
      </c>
      <c r="AF45" s="25">
        <v>10</v>
      </c>
      <c r="AG45" s="25">
        <v>0</v>
      </c>
      <c r="AH45" s="25">
        <v>0</v>
      </c>
      <c r="AI45" s="25">
        <v>0</v>
      </c>
      <c r="AJ45" s="25">
        <v>0</v>
      </c>
      <c r="AK45" s="29">
        <v>8</v>
      </c>
      <c r="AL45">
        <v>25</v>
      </c>
      <c r="AM45" t="s">
        <v>43</v>
      </c>
      <c r="AN45" t="s">
        <v>67</v>
      </c>
    </row>
    <row r="46" spans="1:40" ht="14.45">
      <c r="A46" s="4" t="s">
        <v>112</v>
      </c>
      <c r="B46">
        <v>1993</v>
      </c>
      <c r="C46">
        <v>20</v>
      </c>
      <c r="D46">
        <v>14</v>
      </c>
      <c r="E46">
        <v>12</v>
      </c>
      <c r="F46">
        <v>6</v>
      </c>
      <c r="G46">
        <v>7</v>
      </c>
      <c r="H46">
        <v>0</v>
      </c>
      <c r="I46" t="s">
        <v>100</v>
      </c>
      <c r="J46" t="s">
        <v>118</v>
      </c>
      <c r="K46" t="s">
        <v>154</v>
      </c>
      <c r="L46" t="s">
        <v>169</v>
      </c>
      <c r="M46" t="str">
        <f t="shared" si="0"/>
        <v>Zea</v>
      </c>
      <c r="N46" s="7" t="s">
        <v>170</v>
      </c>
      <c r="O46" t="s">
        <v>43</v>
      </c>
      <c r="P46" t="str">
        <f t="shared" si="1"/>
        <v>Low</v>
      </c>
      <c r="Q46">
        <v>0.03</v>
      </c>
      <c r="R46" s="25">
        <v>1200</v>
      </c>
      <c r="S46">
        <v>100</v>
      </c>
      <c r="T46" s="5" t="s">
        <v>114</v>
      </c>
      <c r="U46" s="1" t="s">
        <v>115</v>
      </c>
      <c r="V46" s="1" t="s">
        <v>47</v>
      </c>
      <c r="W46" s="25">
        <v>10</v>
      </c>
      <c r="X46" s="25">
        <v>0.5</v>
      </c>
      <c r="Y46" t="s">
        <v>48</v>
      </c>
      <c r="Z46" s="25">
        <v>100</v>
      </c>
      <c r="AA46" s="25">
        <v>28</v>
      </c>
      <c r="AB46" s="25">
        <v>1</v>
      </c>
      <c r="AC46" s="25">
        <v>0</v>
      </c>
      <c r="AD46" s="25">
        <v>1</v>
      </c>
      <c r="AE46" s="29" t="s">
        <v>43</v>
      </c>
      <c r="AF46" s="25">
        <v>20</v>
      </c>
      <c r="AG46" s="25">
        <v>0</v>
      </c>
      <c r="AH46" s="25">
        <v>2</v>
      </c>
      <c r="AI46" s="25">
        <v>0</v>
      </c>
      <c r="AJ46" s="25">
        <v>0</v>
      </c>
      <c r="AK46" s="29">
        <v>8</v>
      </c>
      <c r="AL46">
        <v>25</v>
      </c>
      <c r="AM46" t="s">
        <v>116</v>
      </c>
      <c r="AN46" t="s">
        <v>67</v>
      </c>
    </row>
    <row r="47" spans="1:40" ht="14.45">
      <c r="A47" s="4" t="s">
        <v>68</v>
      </c>
      <c r="B47">
        <v>1984</v>
      </c>
      <c r="C47">
        <v>20</v>
      </c>
      <c r="D47">
        <v>14</v>
      </c>
      <c r="E47">
        <v>12</v>
      </c>
      <c r="F47">
        <v>6</v>
      </c>
      <c r="G47">
        <v>44</v>
      </c>
      <c r="H47">
        <v>0</v>
      </c>
      <c r="I47" t="s">
        <v>100</v>
      </c>
      <c r="J47" t="s">
        <v>118</v>
      </c>
      <c r="K47" t="s">
        <v>154</v>
      </c>
      <c r="L47" t="s">
        <v>169</v>
      </c>
      <c r="M47" t="str">
        <f t="shared" si="0"/>
        <v>Sorghum</v>
      </c>
      <c r="N47" s="7" t="s">
        <v>174</v>
      </c>
      <c r="O47" t="s">
        <v>175</v>
      </c>
      <c r="P47" t="str">
        <f t="shared" si="1"/>
        <v>Low</v>
      </c>
      <c r="Q47">
        <v>9.4932191291934323E-2</v>
      </c>
      <c r="R47" s="27">
        <v>1000</v>
      </c>
      <c r="S47" s="6">
        <v>0</v>
      </c>
      <c r="T47" s="5" t="s">
        <v>74</v>
      </c>
      <c r="U47" t="s">
        <v>75</v>
      </c>
      <c r="V47" s="1" t="s">
        <v>47</v>
      </c>
      <c r="W47" s="25" t="s">
        <v>43</v>
      </c>
      <c r="X47" s="25">
        <v>0.75</v>
      </c>
      <c r="Y47" t="s">
        <v>76</v>
      </c>
      <c r="Z47" s="25">
        <v>50</v>
      </c>
      <c r="AA47" s="25">
        <v>10</v>
      </c>
      <c r="AB47" s="25">
        <v>5</v>
      </c>
      <c r="AC47" s="25">
        <v>0</v>
      </c>
      <c r="AD47" s="25">
        <v>0.1</v>
      </c>
      <c r="AE47" s="29">
        <v>0.5</v>
      </c>
      <c r="AF47" s="25">
        <v>20</v>
      </c>
      <c r="AG47" s="25">
        <v>0</v>
      </c>
      <c r="AH47" s="25">
        <v>0</v>
      </c>
      <c r="AI47" s="25">
        <v>0</v>
      </c>
      <c r="AJ47" s="25">
        <v>0</v>
      </c>
      <c r="AK47" s="29">
        <v>8.5</v>
      </c>
      <c r="AL47">
        <v>30</v>
      </c>
      <c r="AM47" t="s">
        <v>43</v>
      </c>
      <c r="AN47" t="s">
        <v>67</v>
      </c>
    </row>
    <row r="48" spans="1:40" ht="14.45">
      <c r="A48" s="4" t="s">
        <v>112</v>
      </c>
      <c r="B48">
        <v>1993</v>
      </c>
      <c r="C48">
        <v>20</v>
      </c>
      <c r="D48">
        <v>14</v>
      </c>
      <c r="E48">
        <v>12</v>
      </c>
      <c r="F48">
        <v>6</v>
      </c>
      <c r="G48">
        <v>44</v>
      </c>
      <c r="H48">
        <v>0</v>
      </c>
      <c r="I48" t="s">
        <v>100</v>
      </c>
      <c r="J48" t="s">
        <v>118</v>
      </c>
      <c r="K48" t="s">
        <v>154</v>
      </c>
      <c r="L48" t="s">
        <v>169</v>
      </c>
      <c r="M48" t="str">
        <f t="shared" si="0"/>
        <v>Sorghum</v>
      </c>
      <c r="N48" s="7" t="s">
        <v>174</v>
      </c>
      <c r="O48" t="s">
        <v>43</v>
      </c>
      <c r="P48" t="str">
        <f t="shared" si="1"/>
        <v>Low</v>
      </c>
      <c r="Q48">
        <v>0.03</v>
      </c>
      <c r="R48" s="25">
        <v>1200</v>
      </c>
      <c r="S48">
        <v>100</v>
      </c>
      <c r="T48" s="5" t="s">
        <v>114</v>
      </c>
      <c r="U48" s="1" t="s">
        <v>115</v>
      </c>
      <c r="V48" s="1" t="s">
        <v>47</v>
      </c>
      <c r="W48" s="25">
        <v>10</v>
      </c>
      <c r="X48" s="25">
        <v>0.5</v>
      </c>
      <c r="Y48" t="s">
        <v>48</v>
      </c>
      <c r="Z48" s="25">
        <v>100</v>
      </c>
      <c r="AA48" s="25">
        <v>28</v>
      </c>
      <c r="AB48" s="25">
        <v>1</v>
      </c>
      <c r="AC48" s="25">
        <v>0</v>
      </c>
      <c r="AD48" s="25">
        <v>1</v>
      </c>
      <c r="AE48" s="29" t="s">
        <v>43</v>
      </c>
      <c r="AF48" s="25">
        <v>20</v>
      </c>
      <c r="AG48" s="25">
        <v>0</v>
      </c>
      <c r="AH48" s="25">
        <v>2</v>
      </c>
      <c r="AI48" s="25">
        <v>0</v>
      </c>
      <c r="AJ48" s="25">
        <v>0</v>
      </c>
      <c r="AK48" s="29">
        <v>8</v>
      </c>
      <c r="AL48">
        <v>25</v>
      </c>
      <c r="AM48" t="s">
        <v>116</v>
      </c>
      <c r="AN48" t="s">
        <v>67</v>
      </c>
    </row>
    <row r="49" spans="1:40" ht="14.45">
      <c r="A49" s="4" t="s">
        <v>105</v>
      </c>
      <c r="B49">
        <v>1986</v>
      </c>
      <c r="C49">
        <v>29</v>
      </c>
      <c r="D49">
        <v>10</v>
      </c>
      <c r="E49">
        <v>10</v>
      </c>
      <c r="F49">
        <v>4</v>
      </c>
      <c r="G49">
        <v>69</v>
      </c>
      <c r="H49">
        <v>0</v>
      </c>
      <c r="I49" t="s">
        <v>176</v>
      </c>
      <c r="J49" t="s">
        <v>177</v>
      </c>
      <c r="K49" t="s">
        <v>178</v>
      </c>
      <c r="L49" t="s">
        <v>179</v>
      </c>
      <c r="M49" t="str">
        <f t="shared" si="0"/>
        <v>Lactuca</v>
      </c>
      <c r="N49" s="7" t="s">
        <v>180</v>
      </c>
      <c r="O49" t="s">
        <v>43</v>
      </c>
      <c r="P49" t="str">
        <f t="shared" si="1"/>
        <v>Low</v>
      </c>
      <c r="Q49">
        <v>0.16000000000000003</v>
      </c>
      <c r="R49" s="25">
        <v>1000</v>
      </c>
      <c r="S49">
        <v>10</v>
      </c>
      <c r="T49" s="5" t="s">
        <v>110</v>
      </c>
      <c r="U49" s="1" t="s">
        <v>111</v>
      </c>
      <c r="V49" s="1" t="s">
        <v>47</v>
      </c>
      <c r="W49" s="25">
        <v>10</v>
      </c>
      <c r="X49" s="25">
        <v>0.5</v>
      </c>
      <c r="Y49" t="s">
        <v>48</v>
      </c>
      <c r="Z49" s="25">
        <v>100</v>
      </c>
      <c r="AA49" s="25">
        <v>5</v>
      </c>
      <c r="AB49" s="25">
        <v>0</v>
      </c>
      <c r="AC49" s="25">
        <v>5</v>
      </c>
      <c r="AD49" s="25">
        <v>0</v>
      </c>
      <c r="AE49" s="29">
        <v>0.66</v>
      </c>
      <c r="AF49" s="25">
        <v>10</v>
      </c>
      <c r="AG49" s="25">
        <v>0</v>
      </c>
      <c r="AH49" s="25">
        <v>0</v>
      </c>
      <c r="AI49" s="25">
        <v>0</v>
      </c>
      <c r="AJ49" s="25">
        <v>0</v>
      </c>
      <c r="AK49" s="29">
        <v>8</v>
      </c>
      <c r="AL49">
        <v>25</v>
      </c>
      <c r="AM49" t="s">
        <v>43</v>
      </c>
      <c r="AN49" t="s">
        <v>67</v>
      </c>
    </row>
    <row r="50" spans="1:40" ht="14.45">
      <c r="A50" s="4" t="s">
        <v>105</v>
      </c>
      <c r="B50">
        <v>1986</v>
      </c>
      <c r="C50">
        <v>29</v>
      </c>
      <c r="D50">
        <v>10</v>
      </c>
      <c r="E50">
        <v>10</v>
      </c>
      <c r="F50">
        <v>4</v>
      </c>
      <c r="G50">
        <v>85</v>
      </c>
      <c r="H50">
        <v>0</v>
      </c>
      <c r="I50" t="s">
        <v>176</v>
      </c>
      <c r="J50" t="s">
        <v>177</v>
      </c>
      <c r="K50" t="s">
        <v>178</v>
      </c>
      <c r="L50" t="s">
        <v>179</v>
      </c>
      <c r="M50" t="str">
        <f t="shared" si="0"/>
        <v>Taraxacum</v>
      </c>
      <c r="N50" s="7" t="s">
        <v>181</v>
      </c>
      <c r="O50" t="s">
        <v>43</v>
      </c>
      <c r="P50" t="str">
        <f t="shared" si="1"/>
        <v>Low</v>
      </c>
      <c r="Q50">
        <v>0.13</v>
      </c>
      <c r="R50" s="25">
        <v>1000</v>
      </c>
      <c r="S50">
        <v>10</v>
      </c>
      <c r="T50" s="5" t="s">
        <v>110</v>
      </c>
      <c r="U50" s="1" t="s">
        <v>111</v>
      </c>
      <c r="V50" s="1" t="s">
        <v>47</v>
      </c>
      <c r="W50" s="25">
        <v>10</v>
      </c>
      <c r="X50" s="25">
        <v>0.5</v>
      </c>
      <c r="Y50" t="s">
        <v>48</v>
      </c>
      <c r="Z50" s="25">
        <v>100</v>
      </c>
      <c r="AA50" s="25">
        <v>5</v>
      </c>
      <c r="AB50" s="25">
        <v>0</v>
      </c>
      <c r="AC50" s="25">
        <v>5</v>
      </c>
      <c r="AD50" s="25">
        <v>0</v>
      </c>
      <c r="AE50" s="29">
        <v>0.66</v>
      </c>
      <c r="AF50" s="25">
        <v>10</v>
      </c>
      <c r="AG50" s="25">
        <v>0</v>
      </c>
      <c r="AH50" s="25">
        <v>0</v>
      </c>
      <c r="AI50" s="25">
        <v>0</v>
      </c>
      <c r="AJ50" s="25">
        <v>0</v>
      </c>
      <c r="AK50" s="29">
        <v>8</v>
      </c>
      <c r="AL50">
        <v>25</v>
      </c>
      <c r="AM50" t="s">
        <v>43</v>
      </c>
      <c r="AN50" t="s">
        <v>67</v>
      </c>
    </row>
    <row r="51" spans="1:40" ht="14.45">
      <c r="A51" s="4" t="s">
        <v>105</v>
      </c>
      <c r="B51">
        <v>1986</v>
      </c>
      <c r="C51">
        <v>29</v>
      </c>
      <c r="D51">
        <v>10</v>
      </c>
      <c r="E51">
        <v>12</v>
      </c>
      <c r="F51">
        <v>6</v>
      </c>
      <c r="G51">
        <v>29</v>
      </c>
      <c r="H51">
        <v>0</v>
      </c>
      <c r="I51" t="s">
        <v>176</v>
      </c>
      <c r="J51" t="s">
        <v>177</v>
      </c>
      <c r="K51" t="s">
        <v>182</v>
      </c>
      <c r="L51" t="s">
        <v>183</v>
      </c>
      <c r="M51" t="str">
        <f t="shared" si="0"/>
        <v>Zinnia</v>
      </c>
      <c r="N51" s="7" t="s">
        <v>184</v>
      </c>
      <c r="O51" t="s">
        <v>43</v>
      </c>
      <c r="P51" t="str">
        <f t="shared" si="1"/>
        <v>Moderate</v>
      </c>
      <c r="Q51">
        <v>0.38</v>
      </c>
      <c r="R51" s="25">
        <v>1000</v>
      </c>
      <c r="S51">
        <v>10</v>
      </c>
      <c r="T51" s="5" t="s">
        <v>110</v>
      </c>
      <c r="U51" s="1" t="s">
        <v>111</v>
      </c>
      <c r="V51" s="1" t="s">
        <v>47</v>
      </c>
      <c r="W51" s="25">
        <v>10</v>
      </c>
      <c r="X51" s="25">
        <v>0.5</v>
      </c>
      <c r="Y51" t="s">
        <v>48</v>
      </c>
      <c r="Z51" s="25">
        <v>100</v>
      </c>
      <c r="AA51" s="25">
        <v>5</v>
      </c>
      <c r="AB51" s="25">
        <v>0</v>
      </c>
      <c r="AC51" s="25">
        <v>5</v>
      </c>
      <c r="AD51" s="25">
        <v>0</v>
      </c>
      <c r="AE51" s="29">
        <v>0.66</v>
      </c>
      <c r="AF51" s="25">
        <v>10</v>
      </c>
      <c r="AG51" s="25">
        <v>0</v>
      </c>
      <c r="AH51" s="25">
        <v>0</v>
      </c>
      <c r="AI51" s="25">
        <v>0</v>
      </c>
      <c r="AJ51" s="25">
        <v>0</v>
      </c>
      <c r="AK51" s="29">
        <v>8</v>
      </c>
      <c r="AL51">
        <v>25</v>
      </c>
      <c r="AM51" t="s">
        <v>43</v>
      </c>
      <c r="AN51" t="s">
        <v>67</v>
      </c>
    </row>
    <row r="52" spans="1:40">
      <c r="A52" s="4" t="s">
        <v>172</v>
      </c>
      <c r="B52">
        <v>1985</v>
      </c>
      <c r="C52">
        <v>29</v>
      </c>
      <c r="D52">
        <v>10</v>
      </c>
      <c r="E52">
        <v>12</v>
      </c>
      <c r="F52">
        <v>6</v>
      </c>
      <c r="G52">
        <v>32</v>
      </c>
      <c r="H52">
        <v>0</v>
      </c>
      <c r="I52" t="s">
        <v>176</v>
      </c>
      <c r="J52" t="s">
        <v>177</v>
      </c>
      <c r="K52" t="s">
        <v>182</v>
      </c>
      <c r="L52" t="s">
        <v>183</v>
      </c>
      <c r="M52" t="str">
        <f t="shared" si="0"/>
        <v>Geraea</v>
      </c>
      <c r="N52" s="7" t="s">
        <v>185</v>
      </c>
      <c r="O52" t="s">
        <v>43</v>
      </c>
      <c r="P52" t="str">
        <f t="shared" si="1"/>
        <v>Low</v>
      </c>
      <c r="Q52">
        <v>0.09</v>
      </c>
      <c r="R52" s="25">
        <v>1000</v>
      </c>
      <c r="S52">
        <v>0</v>
      </c>
      <c r="T52" s="5" t="s">
        <v>173</v>
      </c>
      <c r="U52" s="2" t="s">
        <v>88</v>
      </c>
      <c r="V52" s="1" t="s">
        <v>47</v>
      </c>
      <c r="W52" s="25">
        <v>10</v>
      </c>
      <c r="X52" s="25">
        <v>0.5</v>
      </c>
      <c r="Y52" t="s">
        <v>48</v>
      </c>
      <c r="Z52" s="25">
        <v>100</v>
      </c>
      <c r="AA52" s="25">
        <v>20</v>
      </c>
      <c r="AB52" s="25">
        <v>5</v>
      </c>
      <c r="AC52" s="25" t="s">
        <v>43</v>
      </c>
      <c r="AD52" s="25">
        <v>0.1</v>
      </c>
      <c r="AE52" s="29">
        <v>0.5</v>
      </c>
      <c r="AF52" s="25">
        <v>10</v>
      </c>
      <c r="AG52" s="25">
        <v>0</v>
      </c>
      <c r="AH52" s="25">
        <v>0</v>
      </c>
      <c r="AI52" s="25">
        <v>0</v>
      </c>
      <c r="AJ52" s="25">
        <v>0</v>
      </c>
      <c r="AK52" s="29">
        <v>7.8</v>
      </c>
      <c r="AL52">
        <v>25</v>
      </c>
      <c r="AM52" t="s">
        <v>43</v>
      </c>
      <c r="AN52" t="s">
        <v>67</v>
      </c>
    </row>
    <row r="53" spans="1:40" ht="14.45">
      <c r="A53" s="4" t="s">
        <v>105</v>
      </c>
      <c r="B53">
        <v>1986</v>
      </c>
      <c r="C53">
        <v>29</v>
      </c>
      <c r="D53">
        <v>10</v>
      </c>
      <c r="E53">
        <v>12</v>
      </c>
      <c r="F53">
        <v>6</v>
      </c>
      <c r="G53">
        <v>37</v>
      </c>
      <c r="H53">
        <v>0</v>
      </c>
      <c r="I53" t="s">
        <v>176</v>
      </c>
      <c r="J53" t="s">
        <v>177</v>
      </c>
      <c r="K53" t="s">
        <v>182</v>
      </c>
      <c r="L53" t="s">
        <v>183</v>
      </c>
      <c r="M53" t="str">
        <f t="shared" si="0"/>
        <v>Helianthus</v>
      </c>
      <c r="N53" s="7" t="s">
        <v>186</v>
      </c>
      <c r="O53" t="s">
        <v>43</v>
      </c>
      <c r="P53" t="str">
        <f t="shared" si="1"/>
        <v>Moderate</v>
      </c>
      <c r="Q53">
        <v>0.39</v>
      </c>
      <c r="R53" s="25">
        <v>1000</v>
      </c>
      <c r="S53">
        <v>10</v>
      </c>
      <c r="T53" s="5" t="s">
        <v>110</v>
      </c>
      <c r="U53" s="1" t="s">
        <v>111</v>
      </c>
      <c r="V53" s="1" t="s">
        <v>47</v>
      </c>
      <c r="W53" s="25">
        <v>10</v>
      </c>
      <c r="X53" s="25">
        <v>0.5</v>
      </c>
      <c r="Y53" t="s">
        <v>48</v>
      </c>
      <c r="Z53" s="25">
        <v>100</v>
      </c>
      <c r="AA53" s="25">
        <v>5</v>
      </c>
      <c r="AB53" s="25">
        <v>0</v>
      </c>
      <c r="AC53" s="25">
        <v>5</v>
      </c>
      <c r="AD53" s="25">
        <v>0</v>
      </c>
      <c r="AE53" s="29">
        <v>0.66</v>
      </c>
      <c r="AF53" s="25">
        <v>10</v>
      </c>
      <c r="AG53" s="25">
        <v>0</v>
      </c>
      <c r="AH53" s="25">
        <v>0</v>
      </c>
      <c r="AI53" s="25">
        <v>0</v>
      </c>
      <c r="AJ53" s="25">
        <v>0</v>
      </c>
      <c r="AK53" s="29">
        <v>8</v>
      </c>
      <c r="AL53">
        <v>25</v>
      </c>
      <c r="AM53" t="s">
        <v>43</v>
      </c>
      <c r="AN53" t="s">
        <v>67</v>
      </c>
    </row>
    <row r="54" spans="1:40">
      <c r="A54" s="4" t="s">
        <v>172</v>
      </c>
      <c r="B54">
        <v>1985</v>
      </c>
      <c r="C54">
        <v>29</v>
      </c>
      <c r="D54">
        <v>10</v>
      </c>
      <c r="E54">
        <v>12</v>
      </c>
      <c r="F54">
        <v>6</v>
      </c>
      <c r="G54">
        <v>42</v>
      </c>
      <c r="H54">
        <v>0</v>
      </c>
      <c r="I54" t="s">
        <v>176</v>
      </c>
      <c r="J54" t="s">
        <v>177</v>
      </c>
      <c r="K54" t="s">
        <v>182</v>
      </c>
      <c r="L54" t="s">
        <v>183</v>
      </c>
      <c r="M54" t="str">
        <f t="shared" si="0"/>
        <v>Xanthium</v>
      </c>
      <c r="N54" s="7" t="s">
        <v>187</v>
      </c>
      <c r="O54" t="s">
        <v>43</v>
      </c>
      <c r="P54" t="str">
        <f t="shared" si="1"/>
        <v>Low</v>
      </c>
      <c r="Q54">
        <v>0</v>
      </c>
      <c r="R54" s="25">
        <v>1000</v>
      </c>
      <c r="S54">
        <v>0</v>
      </c>
      <c r="T54" s="5" t="s">
        <v>173</v>
      </c>
      <c r="U54" s="2" t="s">
        <v>88</v>
      </c>
      <c r="V54" s="1" t="s">
        <v>47</v>
      </c>
      <c r="W54" s="25">
        <v>10</v>
      </c>
      <c r="X54" s="25">
        <v>0.5</v>
      </c>
      <c r="Y54" t="s">
        <v>48</v>
      </c>
      <c r="Z54" s="25">
        <v>100</v>
      </c>
      <c r="AA54" s="25">
        <v>20</v>
      </c>
      <c r="AB54" s="25">
        <v>5</v>
      </c>
      <c r="AC54" s="25" t="s">
        <v>43</v>
      </c>
      <c r="AD54" s="25">
        <v>0.1</v>
      </c>
      <c r="AE54" s="29">
        <v>0.5</v>
      </c>
      <c r="AF54" s="25">
        <v>10</v>
      </c>
      <c r="AG54" s="25">
        <v>0</v>
      </c>
      <c r="AH54" s="25">
        <v>0</v>
      </c>
      <c r="AI54" s="25">
        <v>0</v>
      </c>
      <c r="AJ54" s="25">
        <v>0</v>
      </c>
      <c r="AK54" s="29">
        <v>7.8</v>
      </c>
      <c r="AL54">
        <v>25</v>
      </c>
      <c r="AM54" t="s">
        <v>43</v>
      </c>
      <c r="AN54" t="s">
        <v>67</v>
      </c>
    </row>
    <row r="55" spans="1:40" ht="14.45">
      <c r="A55" s="4" t="s">
        <v>112</v>
      </c>
      <c r="B55">
        <v>1993</v>
      </c>
      <c r="C55">
        <v>29</v>
      </c>
      <c r="D55">
        <v>10</v>
      </c>
      <c r="E55">
        <v>12</v>
      </c>
      <c r="F55">
        <v>10</v>
      </c>
      <c r="G55">
        <v>8</v>
      </c>
      <c r="H55">
        <v>0</v>
      </c>
      <c r="I55" t="s">
        <v>176</v>
      </c>
      <c r="J55" t="s">
        <v>177</v>
      </c>
      <c r="K55" t="s">
        <v>182</v>
      </c>
      <c r="L55" t="s">
        <v>188</v>
      </c>
      <c r="M55" t="str">
        <f t="shared" si="0"/>
        <v>Flaveria</v>
      </c>
      <c r="N55" s="7" t="s">
        <v>189</v>
      </c>
      <c r="O55" t="s">
        <v>43</v>
      </c>
      <c r="P55" t="str">
        <f t="shared" si="1"/>
        <v>Low</v>
      </c>
      <c r="Q55">
        <v>-0.02</v>
      </c>
      <c r="R55" s="25">
        <v>1200</v>
      </c>
      <c r="S55">
        <v>100</v>
      </c>
      <c r="T55" s="5" t="s">
        <v>114</v>
      </c>
      <c r="U55" s="1" t="s">
        <v>115</v>
      </c>
      <c r="V55" s="1" t="s">
        <v>47</v>
      </c>
      <c r="W55" s="25">
        <v>10</v>
      </c>
      <c r="X55" s="25">
        <v>0.5</v>
      </c>
      <c r="Y55" t="s">
        <v>48</v>
      </c>
      <c r="Z55" s="25">
        <v>100</v>
      </c>
      <c r="AA55" s="25">
        <v>28</v>
      </c>
      <c r="AB55" s="25">
        <v>1</v>
      </c>
      <c r="AC55" s="25">
        <v>0</v>
      </c>
      <c r="AD55" s="25">
        <v>1</v>
      </c>
      <c r="AE55" s="29" t="s">
        <v>43</v>
      </c>
      <c r="AF55" s="25">
        <v>20</v>
      </c>
      <c r="AG55" s="25">
        <v>0</v>
      </c>
      <c r="AH55" s="25">
        <v>2</v>
      </c>
      <c r="AI55" s="25">
        <v>0</v>
      </c>
      <c r="AJ55" s="25">
        <v>0</v>
      </c>
      <c r="AK55" s="29">
        <v>8</v>
      </c>
      <c r="AL55">
        <v>25</v>
      </c>
      <c r="AM55" t="s">
        <v>116</v>
      </c>
      <c r="AN55" t="s">
        <v>67</v>
      </c>
    </row>
    <row r="56" spans="1:40" ht="14.45">
      <c r="A56" s="4" t="s">
        <v>105</v>
      </c>
      <c r="B56">
        <v>1986</v>
      </c>
      <c r="C56">
        <v>32</v>
      </c>
      <c r="D56">
        <v>4</v>
      </c>
      <c r="E56">
        <v>6</v>
      </c>
      <c r="F56">
        <v>1</v>
      </c>
      <c r="G56">
        <v>1</v>
      </c>
      <c r="H56">
        <v>0</v>
      </c>
      <c r="I56" t="s">
        <v>190</v>
      </c>
      <c r="J56" t="s">
        <v>191</v>
      </c>
      <c r="K56" t="s">
        <v>192</v>
      </c>
      <c r="L56" t="s">
        <v>193</v>
      </c>
      <c r="M56" t="str">
        <f t="shared" si="0"/>
        <v>Petunia</v>
      </c>
      <c r="N56" s="7" t="s">
        <v>194</v>
      </c>
      <c r="O56" t="s">
        <v>43</v>
      </c>
      <c r="P56" t="str">
        <f t="shared" si="1"/>
        <v>Moderate</v>
      </c>
      <c r="Q56">
        <v>0.39</v>
      </c>
      <c r="R56" s="25">
        <v>1000</v>
      </c>
      <c r="S56">
        <v>10</v>
      </c>
      <c r="T56" s="5" t="s">
        <v>110</v>
      </c>
      <c r="U56" s="1" t="s">
        <v>111</v>
      </c>
      <c r="V56" s="1" t="s">
        <v>47</v>
      </c>
      <c r="W56" s="25">
        <v>10</v>
      </c>
      <c r="X56" s="25">
        <v>0.5</v>
      </c>
      <c r="Y56" t="s">
        <v>48</v>
      </c>
      <c r="Z56" s="25">
        <v>100</v>
      </c>
      <c r="AA56" s="25">
        <v>5</v>
      </c>
      <c r="AB56" s="25">
        <v>0</v>
      </c>
      <c r="AC56" s="25">
        <v>5</v>
      </c>
      <c r="AD56" s="25">
        <v>0</v>
      </c>
      <c r="AE56" s="29">
        <v>0.66</v>
      </c>
      <c r="AF56" s="25">
        <v>10</v>
      </c>
      <c r="AG56" s="25">
        <v>0</v>
      </c>
      <c r="AH56" s="25">
        <v>0</v>
      </c>
      <c r="AI56" s="25">
        <v>0</v>
      </c>
      <c r="AJ56" s="25">
        <v>0</v>
      </c>
      <c r="AK56" s="29">
        <v>8</v>
      </c>
      <c r="AL56">
        <v>25</v>
      </c>
      <c r="AM56" t="s">
        <v>43</v>
      </c>
      <c r="AN56" t="s">
        <v>67</v>
      </c>
    </row>
    <row r="57" spans="1:40">
      <c r="A57" s="4" t="s">
        <v>195</v>
      </c>
      <c r="B57">
        <v>1987</v>
      </c>
      <c r="C57">
        <v>32</v>
      </c>
      <c r="D57">
        <v>4</v>
      </c>
      <c r="E57">
        <v>7</v>
      </c>
      <c r="F57">
        <v>2</v>
      </c>
      <c r="G57">
        <v>1</v>
      </c>
      <c r="H57">
        <v>0</v>
      </c>
      <c r="I57" t="s">
        <v>190</v>
      </c>
      <c r="J57" t="s">
        <v>191</v>
      </c>
      <c r="K57" t="s">
        <v>196</v>
      </c>
      <c r="L57" t="s">
        <v>197</v>
      </c>
      <c r="M57" t="str">
        <f t="shared" si="0"/>
        <v>Nicotiana</v>
      </c>
      <c r="N57" s="7" t="s">
        <v>198</v>
      </c>
      <c r="O57" t="s">
        <v>199</v>
      </c>
      <c r="P57" t="str">
        <f t="shared" si="1"/>
        <v>High</v>
      </c>
      <c r="Q57">
        <f>1-(100/200)</f>
        <v>0.5</v>
      </c>
      <c r="R57" s="25">
        <v>1000</v>
      </c>
      <c r="S57">
        <v>0</v>
      </c>
      <c r="T57" s="5" t="s">
        <v>200</v>
      </c>
      <c r="U57" s="1" t="s">
        <v>56</v>
      </c>
      <c r="V57" s="1" t="s">
        <v>47</v>
      </c>
      <c r="W57" s="25" t="s">
        <v>43</v>
      </c>
      <c r="X57" s="25">
        <v>0.5</v>
      </c>
      <c r="Y57" t="s">
        <v>201</v>
      </c>
      <c r="Z57" s="30">
        <v>100</v>
      </c>
      <c r="AA57" s="25">
        <v>10</v>
      </c>
      <c r="AB57" s="25">
        <v>2</v>
      </c>
      <c r="AC57" s="25">
        <v>0</v>
      </c>
      <c r="AD57" s="25">
        <v>0</v>
      </c>
      <c r="AE57" s="29">
        <v>0.4</v>
      </c>
      <c r="AF57" s="25">
        <v>10</v>
      </c>
      <c r="AG57" s="25">
        <v>0</v>
      </c>
      <c r="AH57" s="25">
        <v>0</v>
      </c>
      <c r="AI57" s="25">
        <v>0</v>
      </c>
      <c r="AJ57" s="25">
        <v>0</v>
      </c>
      <c r="AK57" s="29">
        <v>8</v>
      </c>
      <c r="AL57">
        <v>25</v>
      </c>
      <c r="AM57" t="s">
        <v>202</v>
      </c>
      <c r="AN57" t="s">
        <v>203</v>
      </c>
    </row>
    <row r="58" spans="1:40">
      <c r="A58" s="4" t="s">
        <v>195</v>
      </c>
      <c r="B58">
        <v>1987</v>
      </c>
      <c r="C58">
        <v>32</v>
      </c>
      <c r="D58">
        <v>4</v>
      </c>
      <c r="E58">
        <v>7</v>
      </c>
      <c r="F58">
        <v>2</v>
      </c>
      <c r="G58">
        <v>1</v>
      </c>
      <c r="H58">
        <v>0</v>
      </c>
      <c r="I58" t="s">
        <v>190</v>
      </c>
      <c r="J58" t="s">
        <v>191</v>
      </c>
      <c r="K58" t="s">
        <v>196</v>
      </c>
      <c r="L58" t="s">
        <v>197</v>
      </c>
      <c r="M58" t="str">
        <f t="shared" si="0"/>
        <v>Nicotiana</v>
      </c>
      <c r="N58" s="7" t="s">
        <v>198</v>
      </c>
      <c r="O58" t="s">
        <v>199</v>
      </c>
      <c r="P58" t="str">
        <f t="shared" si="1"/>
        <v>High</v>
      </c>
      <c r="Q58">
        <f>1-(105/260)</f>
        <v>0.59615384615384615</v>
      </c>
      <c r="R58" s="25">
        <v>1000</v>
      </c>
      <c r="S58">
        <v>0</v>
      </c>
      <c r="T58" s="5" t="s">
        <v>200</v>
      </c>
      <c r="U58" s="1" t="s">
        <v>56</v>
      </c>
      <c r="V58" s="1" t="s">
        <v>47</v>
      </c>
      <c r="W58" s="25" t="s">
        <v>43</v>
      </c>
      <c r="X58" s="25">
        <v>0.5</v>
      </c>
      <c r="Y58" t="s">
        <v>201</v>
      </c>
      <c r="Z58" s="30">
        <v>100</v>
      </c>
      <c r="AA58" s="25">
        <v>10</v>
      </c>
      <c r="AB58" s="25">
        <v>2</v>
      </c>
      <c r="AC58" s="25">
        <v>0</v>
      </c>
      <c r="AD58" s="25">
        <v>0</v>
      </c>
      <c r="AE58" s="29">
        <v>0.4</v>
      </c>
      <c r="AF58" s="25">
        <v>10</v>
      </c>
      <c r="AG58" s="25">
        <v>0</v>
      </c>
      <c r="AH58" s="25">
        <v>0</v>
      </c>
      <c r="AI58" s="25">
        <v>0</v>
      </c>
      <c r="AJ58" s="25">
        <v>0</v>
      </c>
      <c r="AK58" s="29">
        <v>8</v>
      </c>
      <c r="AL58">
        <v>25</v>
      </c>
      <c r="AM58" t="s">
        <v>202</v>
      </c>
      <c r="AN58" t="s">
        <v>203</v>
      </c>
    </row>
    <row r="59" spans="1:40">
      <c r="A59" s="4" t="s">
        <v>195</v>
      </c>
      <c r="B59">
        <v>1987</v>
      </c>
      <c r="C59">
        <v>32</v>
      </c>
      <c r="D59">
        <v>4</v>
      </c>
      <c r="E59">
        <v>7</v>
      </c>
      <c r="F59">
        <v>2</v>
      </c>
      <c r="G59">
        <v>1</v>
      </c>
      <c r="H59">
        <v>0</v>
      </c>
      <c r="I59" t="s">
        <v>190</v>
      </c>
      <c r="J59" t="s">
        <v>191</v>
      </c>
      <c r="K59" t="s">
        <v>196</v>
      </c>
      <c r="L59" t="s">
        <v>197</v>
      </c>
      <c r="M59" t="str">
        <f t="shared" si="0"/>
        <v>Nicotiana</v>
      </c>
      <c r="N59" s="7" t="s">
        <v>198</v>
      </c>
      <c r="O59" t="s">
        <v>199</v>
      </c>
      <c r="P59" t="str">
        <f t="shared" si="1"/>
        <v>High</v>
      </c>
      <c r="Q59">
        <f>1-(80/230)</f>
        <v>0.65217391304347827</v>
      </c>
      <c r="R59" s="25">
        <v>1000</v>
      </c>
      <c r="S59">
        <v>0</v>
      </c>
      <c r="T59" s="5" t="s">
        <v>200</v>
      </c>
      <c r="U59" s="1" t="s">
        <v>56</v>
      </c>
      <c r="V59" s="1" t="s">
        <v>47</v>
      </c>
      <c r="W59" s="25" t="s">
        <v>43</v>
      </c>
      <c r="X59" s="25">
        <v>0.5</v>
      </c>
      <c r="Y59" t="s">
        <v>201</v>
      </c>
      <c r="Z59" s="30">
        <v>100</v>
      </c>
      <c r="AA59" s="25">
        <v>10</v>
      </c>
      <c r="AB59" s="25">
        <v>2</v>
      </c>
      <c r="AC59" s="25">
        <v>0</v>
      </c>
      <c r="AD59" s="25">
        <v>0</v>
      </c>
      <c r="AE59" s="29">
        <v>0.4</v>
      </c>
      <c r="AF59" s="25">
        <v>10</v>
      </c>
      <c r="AG59" s="25">
        <v>0</v>
      </c>
      <c r="AH59" s="25">
        <v>0</v>
      </c>
      <c r="AI59" s="25">
        <v>0</v>
      </c>
      <c r="AJ59" s="25">
        <v>0</v>
      </c>
      <c r="AK59" s="29">
        <v>8</v>
      </c>
      <c r="AL59">
        <v>25</v>
      </c>
      <c r="AM59" t="s">
        <v>202</v>
      </c>
      <c r="AN59" t="s">
        <v>203</v>
      </c>
    </row>
    <row r="60" spans="1:40" ht="14.45">
      <c r="A60" s="4" t="s">
        <v>68</v>
      </c>
      <c r="B60">
        <v>1984</v>
      </c>
      <c r="C60">
        <v>32</v>
      </c>
      <c r="D60">
        <v>4</v>
      </c>
      <c r="E60">
        <v>7</v>
      </c>
      <c r="F60">
        <v>2</v>
      </c>
      <c r="G60">
        <v>1</v>
      </c>
      <c r="H60">
        <v>0</v>
      </c>
      <c r="I60" t="s">
        <v>190</v>
      </c>
      <c r="J60" t="s">
        <v>191</v>
      </c>
      <c r="K60" t="s">
        <v>196</v>
      </c>
      <c r="L60" t="s">
        <v>197</v>
      </c>
      <c r="M60" t="str">
        <f t="shared" si="0"/>
        <v>Nicotiana</v>
      </c>
      <c r="N60" s="7" t="s">
        <v>204</v>
      </c>
      <c r="O60" t="s">
        <v>205</v>
      </c>
      <c r="P60" t="str">
        <f t="shared" si="1"/>
        <v>High</v>
      </c>
      <c r="Q60">
        <v>0.55012853470437018</v>
      </c>
      <c r="R60" s="27">
        <v>1000</v>
      </c>
      <c r="S60" s="6">
        <v>0</v>
      </c>
      <c r="T60" s="5" t="s">
        <v>74</v>
      </c>
      <c r="U60" t="s">
        <v>75</v>
      </c>
      <c r="V60" s="1" t="s">
        <v>47</v>
      </c>
      <c r="W60" s="25" t="s">
        <v>43</v>
      </c>
      <c r="X60" s="25">
        <v>0.75</v>
      </c>
      <c r="Y60" t="s">
        <v>76</v>
      </c>
      <c r="Z60" s="25">
        <v>50</v>
      </c>
      <c r="AA60" s="25">
        <v>10</v>
      </c>
      <c r="AB60" s="25">
        <v>5</v>
      </c>
      <c r="AC60" s="25">
        <v>0</v>
      </c>
      <c r="AD60" s="25">
        <v>0.1</v>
      </c>
      <c r="AE60" s="29">
        <v>0.5</v>
      </c>
      <c r="AF60" s="25">
        <v>20</v>
      </c>
      <c r="AG60" s="25">
        <v>0</v>
      </c>
      <c r="AH60" s="25">
        <v>0</v>
      </c>
      <c r="AI60" s="25">
        <v>0</v>
      </c>
      <c r="AJ60" s="25">
        <v>0</v>
      </c>
      <c r="AK60" s="29">
        <v>8.5</v>
      </c>
      <c r="AL60">
        <v>30</v>
      </c>
      <c r="AM60" t="s">
        <v>43</v>
      </c>
      <c r="AN60" t="s">
        <v>67</v>
      </c>
    </row>
    <row r="61" spans="1:40">
      <c r="A61" s="4" t="s">
        <v>206</v>
      </c>
      <c r="B61">
        <v>1985</v>
      </c>
      <c r="C61">
        <v>32</v>
      </c>
      <c r="D61">
        <v>4</v>
      </c>
      <c r="E61">
        <v>7</v>
      </c>
      <c r="F61">
        <v>2</v>
      </c>
      <c r="G61">
        <v>1</v>
      </c>
      <c r="H61">
        <v>0</v>
      </c>
      <c r="I61" t="s">
        <v>190</v>
      </c>
      <c r="J61" t="s">
        <v>191</v>
      </c>
      <c r="K61" t="s">
        <v>196</v>
      </c>
      <c r="L61" t="s">
        <v>197</v>
      </c>
      <c r="M61" t="str">
        <f t="shared" si="0"/>
        <v>Nicotiana</v>
      </c>
      <c r="N61" s="7" t="s">
        <v>204</v>
      </c>
      <c r="O61" t="s">
        <v>207</v>
      </c>
      <c r="P61" t="str">
        <f t="shared" si="1"/>
        <v>High</v>
      </c>
      <c r="Q61">
        <f>1-(0.76/1.71)</f>
        <v>0.55555555555555558</v>
      </c>
      <c r="R61" s="25">
        <v>1000</v>
      </c>
      <c r="S61">
        <v>0</v>
      </c>
      <c r="T61" s="5" t="s">
        <v>110</v>
      </c>
      <c r="U61" s="1" t="s">
        <v>208</v>
      </c>
      <c r="V61" s="1" t="s">
        <v>47</v>
      </c>
      <c r="W61" s="25">
        <v>10</v>
      </c>
      <c r="X61" s="25" t="s">
        <v>43</v>
      </c>
      <c r="Y61" t="s">
        <v>76</v>
      </c>
      <c r="Z61" s="25">
        <v>50</v>
      </c>
      <c r="AA61" s="25">
        <v>5</v>
      </c>
      <c r="AB61" s="25">
        <v>0</v>
      </c>
      <c r="AC61" s="25">
        <v>5</v>
      </c>
      <c r="AD61" s="25">
        <v>0.01</v>
      </c>
      <c r="AE61" s="29">
        <v>0.8</v>
      </c>
      <c r="AF61" s="25">
        <v>10</v>
      </c>
      <c r="AG61" s="25">
        <v>0</v>
      </c>
      <c r="AH61" s="25">
        <v>0</v>
      </c>
      <c r="AI61" s="25">
        <v>0</v>
      </c>
      <c r="AJ61" s="25">
        <v>0</v>
      </c>
      <c r="AK61" s="29">
        <v>8.1999999999999993</v>
      </c>
      <c r="AL61">
        <v>25</v>
      </c>
      <c r="AM61" t="s">
        <v>43</v>
      </c>
      <c r="AN61" t="s">
        <v>209</v>
      </c>
    </row>
    <row r="62" spans="1:40">
      <c r="A62" s="4" t="s">
        <v>105</v>
      </c>
      <c r="B62">
        <v>1986</v>
      </c>
      <c r="C62">
        <v>32</v>
      </c>
      <c r="D62">
        <v>4</v>
      </c>
      <c r="E62">
        <v>7</v>
      </c>
      <c r="F62">
        <v>2</v>
      </c>
      <c r="G62">
        <v>1</v>
      </c>
      <c r="H62">
        <v>0</v>
      </c>
      <c r="I62" t="s">
        <v>190</v>
      </c>
      <c r="J62" t="s">
        <v>191</v>
      </c>
      <c r="K62" t="s">
        <v>196</v>
      </c>
      <c r="L62" t="s">
        <v>197</v>
      </c>
      <c r="M62" t="str">
        <f t="shared" si="0"/>
        <v>Nicotiana</v>
      </c>
      <c r="N62" s="7" t="s">
        <v>204</v>
      </c>
      <c r="O62" t="s">
        <v>43</v>
      </c>
      <c r="P62" t="str">
        <f t="shared" si="1"/>
        <v>High</v>
      </c>
      <c r="Q62">
        <v>0.5575</v>
      </c>
      <c r="R62" s="25">
        <v>1000</v>
      </c>
      <c r="S62">
        <v>10</v>
      </c>
      <c r="T62" s="5" t="s">
        <v>110</v>
      </c>
      <c r="U62" s="1" t="s">
        <v>111</v>
      </c>
      <c r="V62" s="1" t="s">
        <v>47</v>
      </c>
      <c r="W62" s="25">
        <v>10</v>
      </c>
      <c r="X62" s="25">
        <v>0.5</v>
      </c>
      <c r="Y62" t="s">
        <v>48</v>
      </c>
      <c r="Z62" s="25">
        <v>100</v>
      </c>
      <c r="AA62" s="25">
        <v>5</v>
      </c>
      <c r="AB62" s="25">
        <v>0</v>
      </c>
      <c r="AC62" s="25">
        <v>5</v>
      </c>
      <c r="AD62" s="25">
        <v>0</v>
      </c>
      <c r="AE62" s="29">
        <v>0.66</v>
      </c>
      <c r="AF62" s="25">
        <v>10</v>
      </c>
      <c r="AG62" s="25">
        <v>0</v>
      </c>
      <c r="AH62" s="25">
        <v>0</v>
      </c>
      <c r="AI62" s="25">
        <v>0</v>
      </c>
      <c r="AJ62" s="25">
        <v>0</v>
      </c>
      <c r="AK62" s="29">
        <v>8</v>
      </c>
      <c r="AL62">
        <v>25</v>
      </c>
      <c r="AM62" t="s">
        <v>43</v>
      </c>
      <c r="AN62" t="s">
        <v>67</v>
      </c>
    </row>
    <row r="63" spans="1:40" ht="14.45">
      <c r="A63" s="4" t="s">
        <v>210</v>
      </c>
      <c r="B63">
        <v>1993</v>
      </c>
      <c r="C63">
        <v>32</v>
      </c>
      <c r="D63">
        <v>4</v>
      </c>
      <c r="E63">
        <v>7</v>
      </c>
      <c r="F63">
        <v>2</v>
      </c>
      <c r="G63">
        <v>1</v>
      </c>
      <c r="H63">
        <v>0</v>
      </c>
      <c r="I63" t="s">
        <v>190</v>
      </c>
      <c r="J63" t="s">
        <v>191</v>
      </c>
      <c r="K63" t="s">
        <v>196</v>
      </c>
      <c r="L63" t="s">
        <v>197</v>
      </c>
      <c r="M63" t="str">
        <f t="shared" si="0"/>
        <v>Nicotiana</v>
      </c>
      <c r="N63" s="7" t="s">
        <v>204</v>
      </c>
      <c r="O63" t="s">
        <v>211</v>
      </c>
      <c r="P63" t="str">
        <f t="shared" si="1"/>
        <v>High</v>
      </c>
      <c r="Q63">
        <f>1-(1.22/2.73)</f>
        <v>0.55311355311355315</v>
      </c>
      <c r="R63" s="25">
        <v>1000</v>
      </c>
      <c r="S63">
        <v>0</v>
      </c>
      <c r="T63" s="5" t="s">
        <v>212</v>
      </c>
      <c r="U63" s="1" t="s">
        <v>88</v>
      </c>
      <c r="V63" s="1" t="s">
        <v>47</v>
      </c>
      <c r="W63" s="25">
        <v>10</v>
      </c>
      <c r="X63" s="25" t="s">
        <v>43</v>
      </c>
      <c r="Y63" t="s">
        <v>201</v>
      </c>
      <c r="Z63" s="25">
        <v>50</v>
      </c>
      <c r="AA63" s="25">
        <v>20</v>
      </c>
      <c r="AB63" s="25">
        <v>10</v>
      </c>
      <c r="AC63" s="25">
        <v>0</v>
      </c>
      <c r="AD63" s="25">
        <v>0.25</v>
      </c>
      <c r="AE63" s="29">
        <v>0.5</v>
      </c>
      <c r="AF63" s="25">
        <v>20</v>
      </c>
      <c r="AG63" s="25">
        <v>0</v>
      </c>
      <c r="AH63" s="25">
        <v>0</v>
      </c>
      <c r="AI63" s="25">
        <v>0</v>
      </c>
      <c r="AJ63" s="25">
        <v>0</v>
      </c>
      <c r="AK63" s="29">
        <v>8.3000000000000007</v>
      </c>
      <c r="AL63">
        <v>25</v>
      </c>
      <c r="AM63" t="s">
        <v>43</v>
      </c>
      <c r="AN63" t="s">
        <v>67</v>
      </c>
    </row>
    <row r="64" spans="1:40">
      <c r="A64" s="4" t="s">
        <v>213</v>
      </c>
      <c r="B64">
        <v>1993</v>
      </c>
      <c r="C64">
        <v>32</v>
      </c>
      <c r="D64">
        <v>4</v>
      </c>
      <c r="E64">
        <v>7</v>
      </c>
      <c r="F64">
        <v>2</v>
      </c>
      <c r="G64">
        <v>1</v>
      </c>
      <c r="H64">
        <v>0</v>
      </c>
      <c r="I64" t="s">
        <v>190</v>
      </c>
      <c r="J64" t="s">
        <v>191</v>
      </c>
      <c r="K64" t="s">
        <v>196</v>
      </c>
      <c r="L64" t="s">
        <v>197</v>
      </c>
      <c r="M64" t="str">
        <f t="shared" si="0"/>
        <v>Nicotiana</v>
      </c>
      <c r="N64" s="7" t="s">
        <v>204</v>
      </c>
      <c r="O64" t="s">
        <v>205</v>
      </c>
      <c r="P64" t="str">
        <f t="shared" si="1"/>
        <v>High</v>
      </c>
      <c r="Q64">
        <f>1-(2.17/7.099)</f>
        <v>0.69432314410480345</v>
      </c>
      <c r="R64" s="25">
        <v>1600</v>
      </c>
      <c r="S64">
        <v>0</v>
      </c>
      <c r="T64" s="5" t="s">
        <v>214</v>
      </c>
      <c r="U64" s="1" t="s">
        <v>215</v>
      </c>
      <c r="V64" s="1" t="s">
        <v>47</v>
      </c>
      <c r="W64" s="25" t="s">
        <v>43</v>
      </c>
      <c r="X64" s="25" t="s">
        <v>43</v>
      </c>
      <c r="Y64" t="s">
        <v>48</v>
      </c>
      <c r="Z64" s="25">
        <v>100</v>
      </c>
      <c r="AA64" s="25">
        <v>10</v>
      </c>
      <c r="AB64" s="25">
        <v>0</v>
      </c>
      <c r="AC64" s="25">
        <v>2.5</v>
      </c>
      <c r="AD64" s="25">
        <v>0</v>
      </c>
      <c r="AE64" s="29">
        <v>0.4</v>
      </c>
      <c r="AF64" s="25">
        <v>10</v>
      </c>
      <c r="AG64" s="25">
        <v>0</v>
      </c>
      <c r="AH64" s="25">
        <v>0</v>
      </c>
      <c r="AI64" s="25">
        <v>0</v>
      </c>
      <c r="AJ64" s="25">
        <v>0</v>
      </c>
      <c r="AK64" s="29">
        <v>8</v>
      </c>
      <c r="AL64" t="s">
        <v>216</v>
      </c>
      <c r="AM64" t="s">
        <v>217</v>
      </c>
      <c r="AN64" t="s">
        <v>67</v>
      </c>
    </row>
    <row r="65" spans="1:40">
      <c r="A65" s="4" t="s">
        <v>218</v>
      </c>
      <c r="B65">
        <v>1997</v>
      </c>
      <c r="C65">
        <v>32</v>
      </c>
      <c r="D65">
        <v>4</v>
      </c>
      <c r="E65">
        <v>7</v>
      </c>
      <c r="F65">
        <v>2</v>
      </c>
      <c r="G65">
        <v>1</v>
      </c>
      <c r="H65">
        <v>0</v>
      </c>
      <c r="I65" t="s">
        <v>190</v>
      </c>
      <c r="J65" t="s">
        <v>191</v>
      </c>
      <c r="K65" t="s">
        <v>196</v>
      </c>
      <c r="L65" t="s">
        <v>197</v>
      </c>
      <c r="M65" t="str">
        <f t="shared" si="0"/>
        <v>Nicotiana</v>
      </c>
      <c r="N65" s="7" t="s">
        <v>204</v>
      </c>
      <c r="O65" t="s">
        <v>43</v>
      </c>
      <c r="P65" t="str">
        <f t="shared" si="1"/>
        <v>Moderate</v>
      </c>
      <c r="Q65">
        <f>1-(399.354/671.646)</f>
        <v>0.40540999276404532</v>
      </c>
      <c r="R65" s="25">
        <v>600</v>
      </c>
      <c r="S65">
        <v>0</v>
      </c>
      <c r="T65" s="5" t="s">
        <v>219</v>
      </c>
      <c r="U65" s="1" t="s">
        <v>220</v>
      </c>
      <c r="V65" s="1" t="s">
        <v>47</v>
      </c>
      <c r="W65" s="25" t="s">
        <v>43</v>
      </c>
      <c r="X65" s="25" t="s">
        <v>43</v>
      </c>
      <c r="Y65" t="s">
        <v>48</v>
      </c>
      <c r="Z65" s="25">
        <v>100</v>
      </c>
      <c r="AA65" s="25">
        <v>10</v>
      </c>
      <c r="AB65" s="25">
        <v>0</v>
      </c>
      <c r="AC65" s="25">
        <v>0.25</v>
      </c>
      <c r="AD65" s="25">
        <v>0</v>
      </c>
      <c r="AE65" s="29">
        <v>0.4</v>
      </c>
      <c r="AF65" s="25">
        <v>10</v>
      </c>
      <c r="AG65" s="25">
        <v>0</v>
      </c>
      <c r="AH65" s="25">
        <v>0</v>
      </c>
      <c r="AI65" s="25">
        <v>0</v>
      </c>
      <c r="AJ65" s="25">
        <v>0</v>
      </c>
      <c r="AK65" s="29">
        <v>8</v>
      </c>
      <c r="AL65" t="s">
        <v>43</v>
      </c>
      <c r="AM65" t="s">
        <v>221</v>
      </c>
      <c r="AN65" t="s">
        <v>67</v>
      </c>
    </row>
    <row r="66" spans="1:40">
      <c r="A66" s="4" t="s">
        <v>222</v>
      </c>
      <c r="B66">
        <v>2013</v>
      </c>
      <c r="C66">
        <v>32</v>
      </c>
      <c r="D66">
        <v>4</v>
      </c>
      <c r="E66">
        <v>7</v>
      </c>
      <c r="F66">
        <v>2</v>
      </c>
      <c r="G66">
        <v>1</v>
      </c>
      <c r="H66">
        <v>0</v>
      </c>
      <c r="I66" t="s">
        <v>190</v>
      </c>
      <c r="J66" t="s">
        <v>191</v>
      </c>
      <c r="K66" t="s">
        <v>196</v>
      </c>
      <c r="L66" t="s">
        <v>197</v>
      </c>
      <c r="M66" t="str">
        <f t="shared" ref="M66:M129" si="2">LEFT(N66,FIND(" ",N66)-1)</f>
        <v>Nicotiana</v>
      </c>
      <c r="N66" s="7" t="s">
        <v>204</v>
      </c>
      <c r="O66" t="s">
        <v>223</v>
      </c>
      <c r="P66" t="str">
        <f t="shared" ref="P66:P129" si="3">IF(Q66&lt;0.17,"Low",IF(Q66&lt;0.48,"Moderate",IF(Q66&lt;0.77,"High", "Very High")))</f>
        <v>Moderate</v>
      </c>
      <c r="Q66">
        <f>1-(0.47/0.87)</f>
        <v>0.45977011494252873</v>
      </c>
      <c r="R66" s="25">
        <v>1800</v>
      </c>
      <c r="S66">
        <v>30</v>
      </c>
      <c r="T66" s="5" t="s">
        <v>224</v>
      </c>
      <c r="U66" s="1" t="s">
        <v>225</v>
      </c>
      <c r="V66" s="1" t="s">
        <v>47</v>
      </c>
      <c r="W66" s="25" t="s">
        <v>43</v>
      </c>
      <c r="X66" s="25">
        <v>0.5</v>
      </c>
      <c r="Y66" t="s">
        <v>201</v>
      </c>
      <c r="Z66" s="30">
        <v>100</v>
      </c>
      <c r="AA66" s="25">
        <v>10</v>
      </c>
      <c r="AB66" s="25">
        <v>0.4</v>
      </c>
      <c r="AC66" s="25">
        <v>0</v>
      </c>
      <c r="AD66" s="25">
        <v>0.08</v>
      </c>
      <c r="AE66" s="29">
        <v>0.4</v>
      </c>
      <c r="AF66" s="25">
        <v>10</v>
      </c>
      <c r="AG66" s="25">
        <v>0</v>
      </c>
      <c r="AH66" s="25">
        <v>0</v>
      </c>
      <c r="AI66" s="25">
        <v>0</v>
      </c>
      <c r="AJ66" s="25">
        <v>0</v>
      </c>
      <c r="AK66" s="29">
        <v>8</v>
      </c>
      <c r="AL66">
        <v>30</v>
      </c>
      <c r="AM66" t="s">
        <v>226</v>
      </c>
      <c r="AN66" t="s">
        <v>67</v>
      </c>
    </row>
    <row r="67" spans="1:40">
      <c r="A67" s="4" t="s">
        <v>105</v>
      </c>
      <c r="B67">
        <v>1986</v>
      </c>
      <c r="C67">
        <v>32</v>
      </c>
      <c r="D67">
        <v>4</v>
      </c>
      <c r="E67">
        <v>8</v>
      </c>
      <c r="F67">
        <v>10</v>
      </c>
      <c r="G67">
        <v>4</v>
      </c>
      <c r="H67">
        <v>0</v>
      </c>
      <c r="I67" t="s">
        <v>190</v>
      </c>
      <c r="J67" t="s">
        <v>191</v>
      </c>
      <c r="K67" t="s">
        <v>227</v>
      </c>
      <c r="L67" t="s">
        <v>228</v>
      </c>
      <c r="M67" t="str">
        <f t="shared" si="2"/>
        <v>Capsicum</v>
      </c>
      <c r="N67" s="7" t="s">
        <v>229</v>
      </c>
      <c r="O67" t="s">
        <v>43</v>
      </c>
      <c r="P67" t="str">
        <f t="shared" si="3"/>
        <v>High</v>
      </c>
      <c r="Q67">
        <v>0.53</v>
      </c>
      <c r="R67" s="25">
        <v>1000</v>
      </c>
      <c r="S67">
        <v>10</v>
      </c>
      <c r="T67" s="5" t="s">
        <v>110</v>
      </c>
      <c r="U67" s="1" t="s">
        <v>111</v>
      </c>
      <c r="V67" s="1" t="s">
        <v>47</v>
      </c>
      <c r="W67" s="25">
        <v>10</v>
      </c>
      <c r="X67" s="25">
        <v>0.5</v>
      </c>
      <c r="Y67" t="s">
        <v>48</v>
      </c>
      <c r="Z67" s="25">
        <v>100</v>
      </c>
      <c r="AA67" s="25">
        <v>5</v>
      </c>
      <c r="AB67" s="25">
        <v>0</v>
      </c>
      <c r="AC67" s="25">
        <v>5</v>
      </c>
      <c r="AD67" s="25">
        <v>0</v>
      </c>
      <c r="AE67" s="29">
        <v>0.66</v>
      </c>
      <c r="AF67" s="25">
        <v>10</v>
      </c>
      <c r="AG67" s="25">
        <v>0</v>
      </c>
      <c r="AH67" s="25">
        <v>0</v>
      </c>
      <c r="AI67" s="25">
        <v>0</v>
      </c>
      <c r="AJ67" s="25">
        <v>0</v>
      </c>
      <c r="AK67" s="29">
        <v>8</v>
      </c>
      <c r="AL67">
        <v>25</v>
      </c>
      <c r="AM67" t="s">
        <v>43</v>
      </c>
      <c r="AN67" t="s">
        <v>67</v>
      </c>
    </row>
    <row r="68" spans="1:40">
      <c r="A68" s="4" t="s">
        <v>105</v>
      </c>
      <c r="B68">
        <v>1986</v>
      </c>
      <c r="C68">
        <v>32</v>
      </c>
      <c r="D68">
        <v>4</v>
      </c>
      <c r="E68">
        <v>8</v>
      </c>
      <c r="F68">
        <v>11</v>
      </c>
      <c r="G68">
        <v>22</v>
      </c>
      <c r="H68">
        <v>0</v>
      </c>
      <c r="I68" t="s">
        <v>190</v>
      </c>
      <c r="J68" t="s">
        <v>191</v>
      </c>
      <c r="K68" t="s">
        <v>227</v>
      </c>
      <c r="L68" t="s">
        <v>230</v>
      </c>
      <c r="M68" t="str">
        <f t="shared" si="2"/>
        <v>Physalis</v>
      </c>
      <c r="N68" s="7" t="s">
        <v>231</v>
      </c>
      <c r="O68" t="s">
        <v>43</v>
      </c>
      <c r="P68" t="str">
        <f t="shared" si="3"/>
        <v>Moderate</v>
      </c>
      <c r="Q68">
        <v>0.30000000000000004</v>
      </c>
      <c r="R68" s="25">
        <v>1000</v>
      </c>
      <c r="S68">
        <v>10</v>
      </c>
      <c r="T68" s="5" t="s">
        <v>110</v>
      </c>
      <c r="U68" s="1" t="s">
        <v>111</v>
      </c>
      <c r="V68" s="1" t="s">
        <v>47</v>
      </c>
      <c r="W68" s="25">
        <v>10</v>
      </c>
      <c r="X68" s="25">
        <v>0.5</v>
      </c>
      <c r="Y68" t="s">
        <v>48</v>
      </c>
      <c r="Z68" s="25">
        <v>100</v>
      </c>
      <c r="AA68" s="25">
        <v>5</v>
      </c>
      <c r="AB68" s="25">
        <v>0</v>
      </c>
      <c r="AC68" s="25">
        <v>5</v>
      </c>
      <c r="AD68" s="25">
        <v>0</v>
      </c>
      <c r="AE68" s="29">
        <v>0.66</v>
      </c>
      <c r="AF68" s="25">
        <v>10</v>
      </c>
      <c r="AG68" s="25">
        <v>0</v>
      </c>
      <c r="AH68" s="25">
        <v>0</v>
      </c>
      <c r="AI68" s="25">
        <v>0</v>
      </c>
      <c r="AJ68" s="25">
        <v>0</v>
      </c>
      <c r="AK68" s="29">
        <v>8</v>
      </c>
      <c r="AL68">
        <v>25</v>
      </c>
      <c r="AM68" t="s">
        <v>43</v>
      </c>
      <c r="AN68" t="s">
        <v>67</v>
      </c>
    </row>
    <row r="69" spans="1:40">
      <c r="A69" s="4" t="s">
        <v>105</v>
      </c>
      <c r="B69">
        <v>1986</v>
      </c>
      <c r="C69">
        <v>32</v>
      </c>
      <c r="D69">
        <v>4</v>
      </c>
      <c r="E69">
        <v>8</v>
      </c>
      <c r="F69">
        <v>12</v>
      </c>
      <c r="G69">
        <v>2</v>
      </c>
      <c r="H69">
        <v>1</v>
      </c>
      <c r="I69" t="s">
        <v>190</v>
      </c>
      <c r="J69" t="s">
        <v>191</v>
      </c>
      <c r="K69" t="s">
        <v>227</v>
      </c>
      <c r="L69" t="s">
        <v>232</v>
      </c>
      <c r="M69" t="str">
        <f t="shared" si="2"/>
        <v>Solanum</v>
      </c>
      <c r="N69" s="7" t="s">
        <v>233</v>
      </c>
      <c r="O69" t="s">
        <v>43</v>
      </c>
      <c r="P69" t="str">
        <f t="shared" si="3"/>
        <v>Moderate</v>
      </c>
      <c r="Q69">
        <v>0.39</v>
      </c>
      <c r="R69" s="25">
        <v>1000</v>
      </c>
      <c r="S69">
        <v>10</v>
      </c>
      <c r="T69" s="5" t="s">
        <v>110</v>
      </c>
      <c r="U69" s="1" t="s">
        <v>111</v>
      </c>
      <c r="V69" s="1" t="s">
        <v>47</v>
      </c>
      <c r="W69" s="25">
        <v>10</v>
      </c>
      <c r="X69" s="25">
        <v>0.5</v>
      </c>
      <c r="Y69" t="s">
        <v>48</v>
      </c>
      <c r="Z69" s="25">
        <v>100</v>
      </c>
      <c r="AA69" s="25">
        <v>5</v>
      </c>
      <c r="AB69" s="25">
        <v>0</v>
      </c>
      <c r="AC69" s="25">
        <v>5</v>
      </c>
      <c r="AD69" s="25">
        <v>0</v>
      </c>
      <c r="AE69" s="29">
        <v>0.66</v>
      </c>
      <c r="AF69" s="25">
        <v>10</v>
      </c>
      <c r="AG69" s="25">
        <v>0</v>
      </c>
      <c r="AH69" s="25">
        <v>0</v>
      </c>
      <c r="AI69" s="25">
        <v>0</v>
      </c>
      <c r="AJ69" s="25">
        <v>0</v>
      </c>
      <c r="AK69" s="29">
        <v>8</v>
      </c>
      <c r="AL69">
        <v>25</v>
      </c>
      <c r="AM69" t="s">
        <v>43</v>
      </c>
      <c r="AN69" t="s">
        <v>67</v>
      </c>
    </row>
    <row r="70" spans="1:40">
      <c r="A70" s="4" t="s">
        <v>105</v>
      </c>
      <c r="B70">
        <v>1986</v>
      </c>
      <c r="C70">
        <v>32</v>
      </c>
      <c r="D70">
        <v>4</v>
      </c>
      <c r="E70">
        <v>8</v>
      </c>
      <c r="F70">
        <v>12</v>
      </c>
      <c r="G70">
        <v>2</v>
      </c>
      <c r="H70">
        <v>2</v>
      </c>
      <c r="I70" t="s">
        <v>190</v>
      </c>
      <c r="J70" t="s">
        <v>191</v>
      </c>
      <c r="K70" t="s">
        <v>227</v>
      </c>
      <c r="L70" t="s">
        <v>232</v>
      </c>
      <c r="M70" t="str">
        <f t="shared" si="2"/>
        <v>Solanum</v>
      </c>
      <c r="N70" s="7" t="s">
        <v>234</v>
      </c>
      <c r="O70" t="s">
        <v>43</v>
      </c>
      <c r="P70" t="str">
        <f t="shared" si="3"/>
        <v>High</v>
      </c>
      <c r="Q70">
        <v>0.54500000000000004</v>
      </c>
      <c r="R70" s="25">
        <v>1000</v>
      </c>
      <c r="S70">
        <v>10</v>
      </c>
      <c r="T70" s="5" t="s">
        <v>110</v>
      </c>
      <c r="U70" s="1" t="s">
        <v>111</v>
      </c>
      <c r="V70" s="1" t="s">
        <v>47</v>
      </c>
      <c r="W70" s="25">
        <v>10</v>
      </c>
      <c r="X70" s="25">
        <v>0.5</v>
      </c>
      <c r="Y70" t="s">
        <v>48</v>
      </c>
      <c r="Z70" s="25">
        <v>100</v>
      </c>
      <c r="AA70" s="25">
        <v>5</v>
      </c>
      <c r="AB70" s="25">
        <v>0</v>
      </c>
      <c r="AC70" s="25">
        <v>5</v>
      </c>
      <c r="AD70" s="25">
        <v>0</v>
      </c>
      <c r="AE70" s="29">
        <v>0.66</v>
      </c>
      <c r="AF70" s="25">
        <v>10</v>
      </c>
      <c r="AG70" s="25">
        <v>0</v>
      </c>
      <c r="AH70" s="25">
        <v>0</v>
      </c>
      <c r="AI70" s="25">
        <v>0</v>
      </c>
      <c r="AJ70" s="25">
        <v>0</v>
      </c>
      <c r="AK70" s="29">
        <v>8</v>
      </c>
      <c r="AL70">
        <v>25</v>
      </c>
      <c r="AM70" t="s">
        <v>43</v>
      </c>
      <c r="AN70" t="s">
        <v>67</v>
      </c>
    </row>
    <row r="71" spans="1:40">
      <c r="A71" s="4" t="s">
        <v>68</v>
      </c>
      <c r="B71">
        <v>1984</v>
      </c>
      <c r="C71">
        <v>32</v>
      </c>
      <c r="D71">
        <v>4</v>
      </c>
      <c r="E71">
        <v>8</v>
      </c>
      <c r="F71">
        <v>12</v>
      </c>
      <c r="G71">
        <v>2</v>
      </c>
      <c r="H71">
        <v>3</v>
      </c>
      <c r="I71" t="s">
        <v>190</v>
      </c>
      <c r="J71" t="s">
        <v>191</v>
      </c>
      <c r="K71" t="s">
        <v>227</v>
      </c>
      <c r="L71" t="s">
        <v>232</v>
      </c>
      <c r="M71" t="str">
        <f t="shared" si="2"/>
        <v>Solanum</v>
      </c>
      <c r="N71" s="7" t="s">
        <v>235</v>
      </c>
      <c r="O71" t="s">
        <v>236</v>
      </c>
      <c r="P71" t="str">
        <f t="shared" si="3"/>
        <v>Moderate</v>
      </c>
      <c r="Q71">
        <v>0.26092933736596091</v>
      </c>
      <c r="R71" s="27">
        <v>1000</v>
      </c>
      <c r="S71" s="6">
        <v>0</v>
      </c>
      <c r="T71" s="5" t="s">
        <v>74</v>
      </c>
      <c r="U71" t="s">
        <v>75</v>
      </c>
      <c r="V71" s="1" t="s">
        <v>47</v>
      </c>
      <c r="W71" s="25" t="s">
        <v>43</v>
      </c>
      <c r="X71" s="25">
        <v>0.75</v>
      </c>
      <c r="Y71" t="s">
        <v>76</v>
      </c>
      <c r="Z71" s="25">
        <v>50</v>
      </c>
      <c r="AA71" s="25">
        <v>10</v>
      </c>
      <c r="AB71" s="25">
        <v>5</v>
      </c>
      <c r="AC71" s="25">
        <v>0</v>
      </c>
      <c r="AD71" s="25">
        <v>0.1</v>
      </c>
      <c r="AE71" s="29">
        <v>0.5</v>
      </c>
      <c r="AF71" s="25">
        <v>20</v>
      </c>
      <c r="AG71" s="25">
        <v>0</v>
      </c>
      <c r="AH71" s="25">
        <v>0</v>
      </c>
      <c r="AI71" s="25">
        <v>0</v>
      </c>
      <c r="AJ71" s="25">
        <v>0</v>
      </c>
      <c r="AK71" s="29">
        <v>8.5</v>
      </c>
      <c r="AL71">
        <v>30</v>
      </c>
      <c r="AM71" t="s">
        <v>43</v>
      </c>
      <c r="AN71" t="s">
        <v>67</v>
      </c>
    </row>
    <row r="72" spans="1:40" ht="14.45">
      <c r="A72" s="4" t="s">
        <v>105</v>
      </c>
      <c r="B72">
        <v>1986</v>
      </c>
      <c r="C72">
        <v>32</v>
      </c>
      <c r="D72">
        <v>4</v>
      </c>
      <c r="E72">
        <v>8</v>
      </c>
      <c r="F72">
        <v>12</v>
      </c>
      <c r="G72">
        <v>2</v>
      </c>
      <c r="H72">
        <v>3</v>
      </c>
      <c r="I72" t="s">
        <v>190</v>
      </c>
      <c r="J72" t="s">
        <v>191</v>
      </c>
      <c r="K72" t="s">
        <v>227</v>
      </c>
      <c r="L72" t="s">
        <v>232</v>
      </c>
      <c r="M72" t="str">
        <f t="shared" si="2"/>
        <v>Solanum</v>
      </c>
      <c r="N72" s="7" t="s">
        <v>235</v>
      </c>
      <c r="O72" t="s">
        <v>43</v>
      </c>
      <c r="P72" t="str">
        <f t="shared" si="3"/>
        <v>Moderate</v>
      </c>
      <c r="Q72">
        <v>0.32000000000000006</v>
      </c>
      <c r="R72" s="25">
        <v>1000</v>
      </c>
      <c r="S72">
        <v>10</v>
      </c>
      <c r="T72" s="5" t="s">
        <v>110</v>
      </c>
      <c r="U72" s="1" t="s">
        <v>111</v>
      </c>
      <c r="V72" s="1" t="s">
        <v>47</v>
      </c>
      <c r="W72" s="25">
        <v>10</v>
      </c>
      <c r="X72" s="25">
        <v>0.5</v>
      </c>
      <c r="Y72" t="s">
        <v>48</v>
      </c>
      <c r="Z72" s="25">
        <v>100</v>
      </c>
      <c r="AA72" s="25">
        <v>5</v>
      </c>
      <c r="AB72" s="25">
        <v>0</v>
      </c>
      <c r="AC72" s="25">
        <v>5</v>
      </c>
      <c r="AD72" s="25">
        <v>0</v>
      </c>
      <c r="AE72" s="29">
        <v>0.66</v>
      </c>
      <c r="AF72" s="25">
        <v>10</v>
      </c>
      <c r="AG72" s="25">
        <v>0</v>
      </c>
      <c r="AH72" s="25">
        <v>0</v>
      </c>
      <c r="AI72" s="25">
        <v>0</v>
      </c>
      <c r="AJ72" s="25">
        <v>0</v>
      </c>
      <c r="AK72" s="29">
        <v>8</v>
      </c>
      <c r="AL72">
        <v>25</v>
      </c>
      <c r="AM72" t="s">
        <v>43</v>
      </c>
      <c r="AN72" t="s">
        <v>67</v>
      </c>
    </row>
    <row r="73" spans="1:40" ht="14.45">
      <c r="A73" s="4" t="s">
        <v>105</v>
      </c>
      <c r="B73">
        <v>1986</v>
      </c>
      <c r="C73">
        <v>32</v>
      </c>
      <c r="D73">
        <v>4</v>
      </c>
      <c r="E73">
        <v>8</v>
      </c>
      <c r="F73">
        <v>12</v>
      </c>
      <c r="G73">
        <v>2</v>
      </c>
      <c r="H73">
        <v>4</v>
      </c>
      <c r="I73" t="s">
        <v>190</v>
      </c>
      <c r="J73" t="s">
        <v>191</v>
      </c>
      <c r="K73" t="s">
        <v>227</v>
      </c>
      <c r="L73" t="s">
        <v>232</v>
      </c>
      <c r="M73" t="str">
        <f t="shared" si="2"/>
        <v>Solanum</v>
      </c>
      <c r="N73" s="7" t="s">
        <v>237</v>
      </c>
      <c r="O73" t="s">
        <v>238</v>
      </c>
      <c r="P73" t="str">
        <f t="shared" si="3"/>
        <v>High</v>
      </c>
      <c r="Q73">
        <v>0.52500000000000002</v>
      </c>
      <c r="R73" s="25">
        <v>1000</v>
      </c>
      <c r="S73">
        <v>10</v>
      </c>
      <c r="T73" s="5" t="s">
        <v>110</v>
      </c>
      <c r="U73" s="1" t="s">
        <v>111</v>
      </c>
      <c r="V73" s="1" t="s">
        <v>47</v>
      </c>
      <c r="W73" s="25">
        <v>10</v>
      </c>
      <c r="X73" s="25">
        <v>0.5</v>
      </c>
      <c r="Y73" t="s">
        <v>48</v>
      </c>
      <c r="Z73" s="25">
        <v>100</v>
      </c>
      <c r="AA73" s="25">
        <v>5</v>
      </c>
      <c r="AB73" s="25">
        <v>0</v>
      </c>
      <c r="AC73" s="25">
        <v>5</v>
      </c>
      <c r="AD73" s="25">
        <v>0</v>
      </c>
      <c r="AE73" s="29">
        <v>0.66</v>
      </c>
      <c r="AF73" s="25">
        <v>10</v>
      </c>
      <c r="AG73" s="25">
        <v>0</v>
      </c>
      <c r="AH73" s="25">
        <v>0</v>
      </c>
      <c r="AI73" s="25">
        <v>0</v>
      </c>
      <c r="AJ73" s="25">
        <v>0</v>
      </c>
      <c r="AK73" s="29">
        <v>8</v>
      </c>
      <c r="AL73">
        <v>25</v>
      </c>
      <c r="AM73" t="s">
        <v>43</v>
      </c>
      <c r="AN73" t="s">
        <v>67</v>
      </c>
    </row>
    <row r="74" spans="1:40" ht="14.45">
      <c r="A74" s="4" t="s">
        <v>105</v>
      </c>
      <c r="B74">
        <v>1986</v>
      </c>
      <c r="C74">
        <v>32</v>
      </c>
      <c r="D74">
        <v>4</v>
      </c>
      <c r="E74">
        <v>8</v>
      </c>
      <c r="F74">
        <v>12</v>
      </c>
      <c r="G74">
        <v>2</v>
      </c>
      <c r="H74">
        <v>4</v>
      </c>
      <c r="I74" t="s">
        <v>190</v>
      </c>
      <c r="J74" t="s">
        <v>191</v>
      </c>
      <c r="K74" t="s">
        <v>227</v>
      </c>
      <c r="L74" t="s">
        <v>232</v>
      </c>
      <c r="M74" t="str">
        <f t="shared" si="2"/>
        <v>Solanum</v>
      </c>
      <c r="N74" s="7" t="s">
        <v>237</v>
      </c>
      <c r="O74" t="s">
        <v>43</v>
      </c>
      <c r="P74" t="str">
        <f t="shared" si="3"/>
        <v>Moderate</v>
      </c>
      <c r="Q74">
        <v>0.41249999999999998</v>
      </c>
      <c r="R74" s="25">
        <v>1000</v>
      </c>
      <c r="S74">
        <v>10</v>
      </c>
      <c r="T74" s="5" t="s">
        <v>110</v>
      </c>
      <c r="U74" s="1" t="s">
        <v>111</v>
      </c>
      <c r="V74" s="1" t="s">
        <v>47</v>
      </c>
      <c r="W74" s="25">
        <v>10</v>
      </c>
      <c r="X74" s="25">
        <v>0.5</v>
      </c>
      <c r="Y74" t="s">
        <v>48</v>
      </c>
      <c r="Z74" s="25">
        <v>100</v>
      </c>
      <c r="AA74" s="25">
        <v>5</v>
      </c>
      <c r="AB74" s="25">
        <v>0</v>
      </c>
      <c r="AC74" s="25">
        <v>5</v>
      </c>
      <c r="AD74" s="25">
        <v>0</v>
      </c>
      <c r="AE74" s="29">
        <v>0.66</v>
      </c>
      <c r="AF74" s="25">
        <v>10</v>
      </c>
      <c r="AG74" s="25">
        <v>0</v>
      </c>
      <c r="AH74" s="25">
        <v>0</v>
      </c>
      <c r="AI74" s="25">
        <v>0</v>
      </c>
      <c r="AJ74" s="25">
        <v>0</v>
      </c>
      <c r="AK74" s="29">
        <v>8</v>
      </c>
      <c r="AL74">
        <v>25</v>
      </c>
      <c r="AM74" t="s">
        <v>43</v>
      </c>
      <c r="AN74" t="s">
        <v>67</v>
      </c>
    </row>
    <row r="75" spans="1:40" ht="14.45">
      <c r="A75" s="4" t="s">
        <v>105</v>
      </c>
      <c r="B75">
        <v>1986</v>
      </c>
      <c r="C75">
        <v>32</v>
      </c>
      <c r="D75">
        <v>4</v>
      </c>
      <c r="E75">
        <v>8</v>
      </c>
      <c r="F75">
        <v>12</v>
      </c>
      <c r="G75">
        <v>2</v>
      </c>
      <c r="H75">
        <v>5</v>
      </c>
      <c r="I75" t="s">
        <v>190</v>
      </c>
      <c r="J75" t="s">
        <v>191</v>
      </c>
      <c r="K75" t="s">
        <v>227</v>
      </c>
      <c r="L75" t="s">
        <v>232</v>
      </c>
      <c r="M75" t="str">
        <f t="shared" si="2"/>
        <v>Solanum</v>
      </c>
      <c r="N75" s="7" t="s">
        <v>239</v>
      </c>
      <c r="O75" t="s">
        <v>43</v>
      </c>
      <c r="P75" t="str">
        <f t="shared" si="3"/>
        <v>High</v>
      </c>
      <c r="Q75">
        <v>0.57000000000000006</v>
      </c>
      <c r="R75" s="25">
        <v>1000</v>
      </c>
      <c r="S75">
        <v>10</v>
      </c>
      <c r="T75" s="5" t="s">
        <v>110</v>
      </c>
      <c r="U75" s="1" t="s">
        <v>111</v>
      </c>
      <c r="V75" s="1" t="s">
        <v>47</v>
      </c>
      <c r="W75" s="25">
        <v>10</v>
      </c>
      <c r="X75" s="25">
        <v>0.5</v>
      </c>
      <c r="Y75" t="s">
        <v>48</v>
      </c>
      <c r="Z75" s="25">
        <v>100</v>
      </c>
      <c r="AA75" s="25">
        <v>5</v>
      </c>
      <c r="AB75" s="25">
        <v>0</v>
      </c>
      <c r="AC75" s="25">
        <v>5</v>
      </c>
      <c r="AD75" s="25">
        <v>0</v>
      </c>
      <c r="AE75" s="29">
        <v>0.66</v>
      </c>
      <c r="AF75" s="25">
        <v>10</v>
      </c>
      <c r="AG75" s="25">
        <v>0</v>
      </c>
      <c r="AH75" s="25">
        <v>0</v>
      </c>
      <c r="AI75" s="25">
        <v>0</v>
      </c>
      <c r="AJ75" s="25">
        <v>0</v>
      </c>
      <c r="AK75" s="29">
        <v>8</v>
      </c>
      <c r="AL75">
        <v>25</v>
      </c>
      <c r="AM75" t="s">
        <v>43</v>
      </c>
      <c r="AN75" t="s">
        <v>67</v>
      </c>
    </row>
    <row r="76" spans="1:40">
      <c r="A76" s="4" t="s">
        <v>112</v>
      </c>
      <c r="B76">
        <v>1993</v>
      </c>
      <c r="C76">
        <v>34</v>
      </c>
      <c r="D76">
        <v>11</v>
      </c>
      <c r="E76">
        <v>1</v>
      </c>
      <c r="F76">
        <v>5</v>
      </c>
      <c r="G76">
        <v>1</v>
      </c>
      <c r="H76">
        <v>0</v>
      </c>
      <c r="I76" t="s">
        <v>240</v>
      </c>
      <c r="J76" t="s">
        <v>241</v>
      </c>
      <c r="K76" t="s">
        <v>242</v>
      </c>
      <c r="L76" t="s">
        <v>43</v>
      </c>
      <c r="M76" t="str">
        <f t="shared" si="2"/>
        <v>Amaranthus</v>
      </c>
      <c r="N76" s="7" t="s">
        <v>243</v>
      </c>
      <c r="O76" t="s">
        <v>43</v>
      </c>
      <c r="P76" t="str">
        <f t="shared" si="3"/>
        <v>Low</v>
      </c>
      <c r="Q76">
        <v>-0.01</v>
      </c>
      <c r="R76" s="25">
        <v>1200</v>
      </c>
      <c r="S76">
        <v>100</v>
      </c>
      <c r="T76" s="5" t="s">
        <v>114</v>
      </c>
      <c r="U76" s="1" t="s">
        <v>115</v>
      </c>
      <c r="V76" s="1" t="s">
        <v>47</v>
      </c>
      <c r="W76" s="25">
        <v>10</v>
      </c>
      <c r="X76" s="25">
        <v>0.5</v>
      </c>
      <c r="Y76" t="s">
        <v>48</v>
      </c>
      <c r="Z76" s="25">
        <v>100</v>
      </c>
      <c r="AA76" s="25">
        <v>28</v>
      </c>
      <c r="AB76" s="25">
        <v>1</v>
      </c>
      <c r="AC76" s="25">
        <v>0</v>
      </c>
      <c r="AD76" s="25">
        <v>1</v>
      </c>
      <c r="AE76" s="29" t="s">
        <v>43</v>
      </c>
      <c r="AF76" s="25">
        <v>20</v>
      </c>
      <c r="AG76" s="25">
        <v>0</v>
      </c>
      <c r="AH76" s="25">
        <v>2</v>
      </c>
      <c r="AI76" s="25">
        <v>0</v>
      </c>
      <c r="AJ76" s="25">
        <v>0</v>
      </c>
      <c r="AK76" s="29">
        <v>8</v>
      </c>
      <c r="AL76">
        <v>25</v>
      </c>
      <c r="AM76" t="s">
        <v>116</v>
      </c>
      <c r="AN76" t="s">
        <v>67</v>
      </c>
    </row>
    <row r="77" spans="1:40">
      <c r="A77" s="4" t="s">
        <v>105</v>
      </c>
      <c r="B77">
        <v>1986</v>
      </c>
      <c r="C77">
        <v>34</v>
      </c>
      <c r="D77">
        <v>11</v>
      </c>
      <c r="E77">
        <v>1</v>
      </c>
      <c r="F77">
        <v>5</v>
      </c>
      <c r="G77">
        <v>1</v>
      </c>
      <c r="H77">
        <v>0</v>
      </c>
      <c r="I77" t="s">
        <v>240</v>
      </c>
      <c r="J77" t="s">
        <v>241</v>
      </c>
      <c r="K77" t="s">
        <v>242</v>
      </c>
      <c r="L77" t="s">
        <v>43</v>
      </c>
      <c r="M77" t="str">
        <f t="shared" si="2"/>
        <v>Amaranthus</v>
      </c>
      <c r="N77" s="7" t="s">
        <v>244</v>
      </c>
      <c r="O77" t="s">
        <v>43</v>
      </c>
      <c r="P77" t="str">
        <f t="shared" si="3"/>
        <v>Low</v>
      </c>
      <c r="Q77">
        <v>5.0000000000000044E-2</v>
      </c>
      <c r="R77" s="25">
        <v>1000</v>
      </c>
      <c r="S77">
        <v>10</v>
      </c>
      <c r="T77" s="5" t="s">
        <v>110</v>
      </c>
      <c r="U77" s="1" t="s">
        <v>111</v>
      </c>
      <c r="V77" s="1" t="s">
        <v>47</v>
      </c>
      <c r="W77" s="25">
        <v>10</v>
      </c>
      <c r="X77" s="25">
        <v>0.5</v>
      </c>
      <c r="Y77" t="s">
        <v>48</v>
      </c>
      <c r="Z77" s="25">
        <v>100</v>
      </c>
      <c r="AA77" s="25">
        <v>5</v>
      </c>
      <c r="AB77" s="25">
        <v>0</v>
      </c>
      <c r="AC77" s="25">
        <v>5</v>
      </c>
      <c r="AD77" s="25">
        <v>0</v>
      </c>
      <c r="AE77" s="29">
        <v>0.66</v>
      </c>
      <c r="AF77" s="25">
        <v>10</v>
      </c>
      <c r="AG77" s="25">
        <v>0</v>
      </c>
      <c r="AH77" s="25">
        <v>0</v>
      </c>
      <c r="AI77" s="25">
        <v>0</v>
      </c>
      <c r="AJ77" s="25">
        <v>0</v>
      </c>
      <c r="AK77" s="29">
        <v>8</v>
      </c>
      <c r="AL77">
        <v>25</v>
      </c>
      <c r="AM77" t="s">
        <v>43</v>
      </c>
      <c r="AN77" t="s">
        <v>67</v>
      </c>
    </row>
    <row r="78" spans="1:40">
      <c r="A78" s="4" t="s">
        <v>105</v>
      </c>
      <c r="B78">
        <v>1986</v>
      </c>
      <c r="C78">
        <v>34</v>
      </c>
      <c r="D78">
        <v>11</v>
      </c>
      <c r="E78">
        <v>5</v>
      </c>
      <c r="F78">
        <v>1</v>
      </c>
      <c r="G78">
        <v>1</v>
      </c>
      <c r="H78">
        <v>0</v>
      </c>
      <c r="I78" t="s">
        <v>240</v>
      </c>
      <c r="J78" t="s">
        <v>241</v>
      </c>
      <c r="K78" t="s">
        <v>245</v>
      </c>
      <c r="L78" t="s">
        <v>246</v>
      </c>
      <c r="M78" t="str">
        <f t="shared" si="2"/>
        <v>Beta</v>
      </c>
      <c r="N78" s="7" t="s">
        <v>247</v>
      </c>
      <c r="O78" t="s">
        <v>43</v>
      </c>
      <c r="P78" t="str">
        <f t="shared" si="3"/>
        <v>Low</v>
      </c>
      <c r="Q78">
        <v>0.15500000000000003</v>
      </c>
      <c r="R78" s="25">
        <v>1000</v>
      </c>
      <c r="S78">
        <v>10</v>
      </c>
      <c r="T78" s="5" t="s">
        <v>110</v>
      </c>
      <c r="U78" s="1" t="s">
        <v>111</v>
      </c>
      <c r="V78" s="1" t="s">
        <v>47</v>
      </c>
      <c r="W78" s="25">
        <v>10</v>
      </c>
      <c r="X78" s="25">
        <v>0.5</v>
      </c>
      <c r="Y78" t="s">
        <v>48</v>
      </c>
      <c r="Z78" s="25">
        <v>100</v>
      </c>
      <c r="AA78" s="25">
        <v>5</v>
      </c>
      <c r="AB78" s="25">
        <v>0</v>
      </c>
      <c r="AC78" s="25">
        <v>5</v>
      </c>
      <c r="AD78" s="25">
        <v>0</v>
      </c>
      <c r="AE78" s="29">
        <v>0.66</v>
      </c>
      <c r="AF78" s="25">
        <v>10</v>
      </c>
      <c r="AG78" s="25">
        <v>0</v>
      </c>
      <c r="AH78" s="25">
        <v>0</v>
      </c>
      <c r="AI78" s="25">
        <v>0</v>
      </c>
      <c r="AJ78" s="25">
        <v>0</v>
      </c>
      <c r="AK78" s="29">
        <v>8</v>
      </c>
      <c r="AL78">
        <v>25</v>
      </c>
      <c r="AM78" t="s">
        <v>43</v>
      </c>
      <c r="AN78" t="s">
        <v>67</v>
      </c>
    </row>
    <row r="79" spans="1:40">
      <c r="A79" s="4" t="s">
        <v>248</v>
      </c>
      <c r="B79">
        <v>1988</v>
      </c>
      <c r="C79">
        <v>34</v>
      </c>
      <c r="D79">
        <v>11</v>
      </c>
      <c r="E79">
        <v>5</v>
      </c>
      <c r="F79">
        <v>1</v>
      </c>
      <c r="G79">
        <v>1</v>
      </c>
      <c r="H79">
        <v>0</v>
      </c>
      <c r="I79" t="s">
        <v>240</v>
      </c>
      <c r="J79" t="s">
        <v>241</v>
      </c>
      <c r="K79" t="s">
        <v>245</v>
      </c>
      <c r="L79" t="s">
        <v>246</v>
      </c>
      <c r="M79" t="str">
        <f t="shared" si="2"/>
        <v>Beta</v>
      </c>
      <c r="N79" s="7" t="s">
        <v>247</v>
      </c>
      <c r="O79" t="s">
        <v>43</v>
      </c>
      <c r="P79" t="str">
        <f t="shared" si="3"/>
        <v>High</v>
      </c>
      <c r="Q79">
        <f>1-(10/21.94)</f>
        <v>0.54421148587055601</v>
      </c>
      <c r="R79" s="25">
        <v>1000</v>
      </c>
      <c r="S79">
        <v>0</v>
      </c>
      <c r="T79" s="5" t="s">
        <v>249</v>
      </c>
      <c r="U79" s="2" t="s">
        <v>88</v>
      </c>
      <c r="V79" s="1" t="s">
        <v>47</v>
      </c>
      <c r="W79" s="25">
        <v>10</v>
      </c>
      <c r="X79" s="25">
        <v>0.5</v>
      </c>
      <c r="Y79" t="s">
        <v>48</v>
      </c>
      <c r="Z79" s="25">
        <v>100</v>
      </c>
      <c r="AA79" s="25">
        <v>10</v>
      </c>
      <c r="AB79" s="25">
        <v>1</v>
      </c>
      <c r="AC79" s="25">
        <v>0</v>
      </c>
      <c r="AD79" s="25">
        <v>0.1</v>
      </c>
      <c r="AE79" s="29">
        <v>0.5</v>
      </c>
      <c r="AF79" s="25">
        <v>20</v>
      </c>
      <c r="AG79" s="25">
        <v>0</v>
      </c>
      <c r="AH79" s="25">
        <v>0</v>
      </c>
      <c r="AI79" s="25">
        <v>0</v>
      </c>
      <c r="AJ79" s="25">
        <v>0</v>
      </c>
      <c r="AK79" s="29">
        <v>7.8</v>
      </c>
      <c r="AL79">
        <v>25</v>
      </c>
      <c r="AM79" t="s">
        <v>43</v>
      </c>
      <c r="AN79" t="s">
        <v>89</v>
      </c>
    </row>
    <row r="80" spans="1:40">
      <c r="A80" s="4" t="s">
        <v>250</v>
      </c>
      <c r="B80">
        <v>1989</v>
      </c>
      <c r="C80">
        <v>34</v>
      </c>
      <c r="D80">
        <v>11</v>
      </c>
      <c r="E80">
        <v>5</v>
      </c>
      <c r="F80">
        <v>1</v>
      </c>
      <c r="G80">
        <v>1</v>
      </c>
      <c r="H80">
        <v>0</v>
      </c>
      <c r="I80" t="s">
        <v>240</v>
      </c>
      <c r="J80" t="s">
        <v>241</v>
      </c>
      <c r="K80" t="s">
        <v>245</v>
      </c>
      <c r="L80" t="s">
        <v>246</v>
      </c>
      <c r="M80" t="str">
        <f t="shared" si="2"/>
        <v>Beta</v>
      </c>
      <c r="N80" s="7" t="s">
        <v>247</v>
      </c>
      <c r="O80" t="s">
        <v>251</v>
      </c>
      <c r="P80" t="str">
        <f t="shared" si="3"/>
        <v>High</v>
      </c>
      <c r="Q80">
        <f>1-(6.838/18.798)</f>
        <v>0.63623789764868599</v>
      </c>
      <c r="R80" s="25">
        <v>1000</v>
      </c>
      <c r="S80">
        <v>0</v>
      </c>
      <c r="T80" s="5" t="s">
        <v>252</v>
      </c>
      <c r="U80" s="1" t="s">
        <v>88</v>
      </c>
      <c r="V80" s="1" t="s">
        <v>47</v>
      </c>
      <c r="W80" s="25">
        <v>10</v>
      </c>
      <c r="X80" s="25">
        <v>0.5</v>
      </c>
      <c r="Y80" t="s">
        <v>48</v>
      </c>
      <c r="Z80" s="25">
        <v>100</v>
      </c>
      <c r="AA80" s="25">
        <v>20</v>
      </c>
      <c r="AB80" s="25">
        <v>5</v>
      </c>
      <c r="AC80" s="25">
        <v>0</v>
      </c>
      <c r="AD80" s="25">
        <v>1</v>
      </c>
      <c r="AE80" s="29">
        <v>1.5</v>
      </c>
      <c r="AF80" s="25">
        <v>10</v>
      </c>
      <c r="AG80" s="25">
        <v>0</v>
      </c>
      <c r="AH80" s="25">
        <v>0</v>
      </c>
      <c r="AI80" s="25">
        <v>0</v>
      </c>
      <c r="AJ80" s="25">
        <v>0</v>
      </c>
      <c r="AK80" s="29">
        <v>8.1999999999999993</v>
      </c>
      <c r="AL80">
        <v>25</v>
      </c>
      <c r="AM80" t="s">
        <v>43</v>
      </c>
      <c r="AN80" t="s">
        <v>67</v>
      </c>
    </row>
    <row r="81" spans="1:40">
      <c r="A81" s="4" t="s">
        <v>253</v>
      </c>
      <c r="B81">
        <v>1989</v>
      </c>
      <c r="C81">
        <v>34</v>
      </c>
      <c r="D81">
        <v>11</v>
      </c>
      <c r="E81">
        <v>5</v>
      </c>
      <c r="F81">
        <v>1</v>
      </c>
      <c r="G81">
        <v>1</v>
      </c>
      <c r="H81">
        <v>0</v>
      </c>
      <c r="I81" t="s">
        <v>240</v>
      </c>
      <c r="J81" t="s">
        <v>241</v>
      </c>
      <c r="K81" t="s">
        <v>245</v>
      </c>
      <c r="L81" t="s">
        <v>246</v>
      </c>
      <c r="M81" t="str">
        <f t="shared" si="2"/>
        <v>Beta</v>
      </c>
      <c r="N81" s="7" t="s">
        <v>247</v>
      </c>
      <c r="O81" t="s">
        <v>251</v>
      </c>
      <c r="P81" t="str">
        <f t="shared" si="3"/>
        <v>High</v>
      </c>
      <c r="Q81">
        <f>1-(9.13/20.323)</f>
        <v>0.55075530187472321</v>
      </c>
      <c r="R81" s="25">
        <v>1450</v>
      </c>
      <c r="S81">
        <v>0</v>
      </c>
      <c r="T81" s="5" t="s">
        <v>254</v>
      </c>
      <c r="U81" s="1" t="s">
        <v>88</v>
      </c>
      <c r="V81" s="1" t="s">
        <v>47</v>
      </c>
      <c r="W81" s="25">
        <v>10</v>
      </c>
      <c r="X81" s="25">
        <v>0.5</v>
      </c>
      <c r="Y81" t="s">
        <v>48</v>
      </c>
      <c r="Z81" s="25">
        <v>100</v>
      </c>
      <c r="AA81" s="25">
        <v>20</v>
      </c>
      <c r="AB81" s="25">
        <v>5</v>
      </c>
      <c r="AC81" s="25">
        <v>0</v>
      </c>
      <c r="AD81" s="25">
        <v>1</v>
      </c>
      <c r="AE81" s="29">
        <v>1.5</v>
      </c>
      <c r="AF81" s="25">
        <v>10</v>
      </c>
      <c r="AG81" s="25">
        <v>0</v>
      </c>
      <c r="AH81" s="25">
        <v>0</v>
      </c>
      <c r="AI81" s="25">
        <v>0</v>
      </c>
      <c r="AJ81" s="25">
        <v>0</v>
      </c>
      <c r="AK81" s="29">
        <v>8.1999999999999993</v>
      </c>
      <c r="AL81">
        <v>25</v>
      </c>
      <c r="AM81" t="s">
        <v>43</v>
      </c>
      <c r="AN81" t="s">
        <v>67</v>
      </c>
    </row>
    <row r="82" spans="1:40" ht="15" customHeight="1">
      <c r="A82" s="4" t="s">
        <v>255</v>
      </c>
      <c r="B82">
        <v>1991</v>
      </c>
      <c r="C82">
        <v>34</v>
      </c>
      <c r="D82">
        <v>11</v>
      </c>
      <c r="E82">
        <v>5</v>
      </c>
      <c r="F82">
        <v>1</v>
      </c>
      <c r="G82">
        <v>1</v>
      </c>
      <c r="H82">
        <v>0</v>
      </c>
      <c r="I82" t="s">
        <v>240</v>
      </c>
      <c r="J82" t="s">
        <v>241</v>
      </c>
      <c r="K82" t="s">
        <v>245</v>
      </c>
      <c r="L82" t="s">
        <v>246</v>
      </c>
      <c r="M82" t="str">
        <f t="shared" si="2"/>
        <v>Beta</v>
      </c>
      <c r="N82" s="7" t="s">
        <v>247</v>
      </c>
      <c r="O82" t="s">
        <v>211</v>
      </c>
      <c r="P82" t="str">
        <f t="shared" si="3"/>
        <v>Moderate</v>
      </c>
      <c r="Q82">
        <f>1-(34.105/60.593)</f>
        <v>0.43714620500717916</v>
      </c>
      <c r="R82" s="25">
        <v>800</v>
      </c>
      <c r="S82">
        <v>0</v>
      </c>
      <c r="T82" s="5" t="s">
        <v>83</v>
      </c>
      <c r="U82" s="1" t="s">
        <v>256</v>
      </c>
      <c r="V82" s="1" t="s">
        <v>47</v>
      </c>
      <c r="W82" s="25">
        <v>10</v>
      </c>
      <c r="X82" s="25">
        <v>0.5</v>
      </c>
      <c r="Y82" t="s">
        <v>65</v>
      </c>
      <c r="Z82" s="25">
        <v>100</v>
      </c>
      <c r="AA82" s="25">
        <v>30</v>
      </c>
      <c r="AB82" s="25">
        <v>1</v>
      </c>
      <c r="AC82" s="25">
        <v>14</v>
      </c>
      <c r="AD82" s="25">
        <v>0.5</v>
      </c>
      <c r="AE82" s="29">
        <v>0.6</v>
      </c>
      <c r="AF82" s="25">
        <v>12</v>
      </c>
      <c r="AG82" s="25">
        <v>0</v>
      </c>
      <c r="AH82" s="25">
        <v>0</v>
      </c>
      <c r="AI82" s="25">
        <v>0</v>
      </c>
      <c r="AJ82" s="25">
        <v>0</v>
      </c>
      <c r="AK82" s="29">
        <v>7.7</v>
      </c>
      <c r="AL82" t="s">
        <v>43</v>
      </c>
      <c r="AM82" t="s">
        <v>257</v>
      </c>
      <c r="AN82" t="s">
        <v>67</v>
      </c>
    </row>
    <row r="83" spans="1:40">
      <c r="A83" s="4" t="s">
        <v>172</v>
      </c>
      <c r="B83">
        <v>1985</v>
      </c>
      <c r="C83">
        <v>34</v>
      </c>
      <c r="D83">
        <v>11</v>
      </c>
      <c r="E83">
        <v>7</v>
      </c>
      <c r="F83">
        <v>1</v>
      </c>
      <c r="G83">
        <v>1</v>
      </c>
      <c r="H83">
        <v>0</v>
      </c>
      <c r="I83" t="s">
        <v>240</v>
      </c>
      <c r="J83" t="s">
        <v>241</v>
      </c>
      <c r="K83" t="s">
        <v>258</v>
      </c>
      <c r="L83" t="s">
        <v>259</v>
      </c>
      <c r="M83" t="str">
        <f t="shared" si="2"/>
        <v>Spinacia</v>
      </c>
      <c r="N83" s="7" t="s">
        <v>260</v>
      </c>
      <c r="O83" t="s">
        <v>43</v>
      </c>
      <c r="P83" t="str">
        <f t="shared" si="3"/>
        <v>Low</v>
      </c>
      <c r="Q83">
        <v>0</v>
      </c>
      <c r="R83" s="25">
        <v>1000</v>
      </c>
      <c r="S83">
        <v>0</v>
      </c>
      <c r="T83" s="5" t="s">
        <v>173</v>
      </c>
      <c r="U83" s="2" t="s">
        <v>88</v>
      </c>
      <c r="V83" s="1" t="s">
        <v>47</v>
      </c>
      <c r="W83" s="25">
        <v>10</v>
      </c>
      <c r="X83" s="25">
        <v>0.5</v>
      </c>
      <c r="Y83" t="s">
        <v>48</v>
      </c>
      <c r="Z83" s="25">
        <v>100</v>
      </c>
      <c r="AA83" s="25">
        <v>20</v>
      </c>
      <c r="AB83" s="25">
        <v>5</v>
      </c>
      <c r="AC83" s="25" t="s">
        <v>43</v>
      </c>
      <c r="AD83" s="25">
        <v>0.1</v>
      </c>
      <c r="AE83" s="29">
        <v>0.5</v>
      </c>
      <c r="AF83" s="25">
        <v>10</v>
      </c>
      <c r="AG83" s="25">
        <v>0</v>
      </c>
      <c r="AH83" s="25">
        <v>0</v>
      </c>
      <c r="AI83" s="25">
        <v>0</v>
      </c>
      <c r="AJ83" s="25">
        <v>0</v>
      </c>
      <c r="AK83" s="29">
        <v>7.8</v>
      </c>
      <c r="AL83">
        <v>25</v>
      </c>
      <c r="AM83" t="s">
        <v>43</v>
      </c>
      <c r="AN83" t="s">
        <v>67</v>
      </c>
    </row>
    <row r="84" spans="1:40">
      <c r="A84" s="4" t="s">
        <v>105</v>
      </c>
      <c r="B84">
        <v>1986</v>
      </c>
      <c r="C84">
        <v>34</v>
      </c>
      <c r="D84">
        <v>11</v>
      </c>
      <c r="E84">
        <v>7</v>
      </c>
      <c r="F84">
        <v>1</v>
      </c>
      <c r="G84">
        <v>1</v>
      </c>
      <c r="H84">
        <v>0</v>
      </c>
      <c r="I84" t="s">
        <v>240</v>
      </c>
      <c r="J84" t="s">
        <v>241</v>
      </c>
      <c r="K84" t="s">
        <v>258</v>
      </c>
      <c r="L84" t="s">
        <v>259</v>
      </c>
      <c r="M84" t="str">
        <f t="shared" si="2"/>
        <v>Spinacia</v>
      </c>
      <c r="N84" s="7" t="s">
        <v>260</v>
      </c>
      <c r="O84" t="s">
        <v>43</v>
      </c>
      <c r="P84" t="str">
        <f t="shared" si="3"/>
        <v>Low</v>
      </c>
      <c r="Q84">
        <v>-0.1050000000000002</v>
      </c>
      <c r="R84" s="25">
        <v>1000</v>
      </c>
      <c r="S84">
        <v>10</v>
      </c>
      <c r="T84" s="5" t="s">
        <v>110</v>
      </c>
      <c r="U84" s="1" t="s">
        <v>111</v>
      </c>
      <c r="V84" s="1" t="s">
        <v>47</v>
      </c>
      <c r="W84" s="25">
        <v>10</v>
      </c>
      <c r="X84" s="25">
        <v>0.5</v>
      </c>
      <c r="Y84" t="s">
        <v>48</v>
      </c>
      <c r="Z84" s="25">
        <v>100</v>
      </c>
      <c r="AA84" s="25">
        <v>5</v>
      </c>
      <c r="AB84" s="25">
        <v>0</v>
      </c>
      <c r="AC84" s="25">
        <v>5</v>
      </c>
      <c r="AD84" s="25">
        <v>0</v>
      </c>
      <c r="AE84" s="29">
        <v>0.66</v>
      </c>
      <c r="AF84" s="25">
        <v>10</v>
      </c>
      <c r="AG84" s="25">
        <v>0</v>
      </c>
      <c r="AH84" s="25">
        <v>0</v>
      </c>
      <c r="AI84" s="25">
        <v>0</v>
      </c>
      <c r="AJ84" s="25">
        <v>0</v>
      </c>
      <c r="AK84" s="29">
        <v>8</v>
      </c>
      <c r="AL84">
        <v>25</v>
      </c>
      <c r="AM84" t="s">
        <v>43</v>
      </c>
      <c r="AN84" t="s">
        <v>67</v>
      </c>
    </row>
    <row r="85" spans="1:40" ht="14.45">
      <c r="A85" s="4" t="s">
        <v>248</v>
      </c>
      <c r="B85">
        <v>1988</v>
      </c>
      <c r="C85">
        <v>34</v>
      </c>
      <c r="D85">
        <v>11</v>
      </c>
      <c r="E85">
        <v>7</v>
      </c>
      <c r="F85">
        <v>1</v>
      </c>
      <c r="G85">
        <v>1</v>
      </c>
      <c r="H85">
        <v>0</v>
      </c>
      <c r="I85" t="s">
        <v>240</v>
      </c>
      <c r="J85" t="s">
        <v>241</v>
      </c>
      <c r="K85" t="s">
        <v>258</v>
      </c>
      <c r="L85" t="s">
        <v>259</v>
      </c>
      <c r="M85" t="str">
        <f t="shared" si="2"/>
        <v>Spinacia</v>
      </c>
      <c r="N85" s="7" t="s">
        <v>260</v>
      </c>
      <c r="O85" t="s">
        <v>43</v>
      </c>
      <c r="P85" t="str">
        <f t="shared" si="3"/>
        <v>Low</v>
      </c>
      <c r="Q85">
        <f>1-(21.03/20.18)</f>
        <v>-4.2120911793855464E-2</v>
      </c>
      <c r="R85" s="25">
        <v>2500</v>
      </c>
      <c r="S85">
        <v>0</v>
      </c>
      <c r="T85" s="5" t="s">
        <v>249</v>
      </c>
      <c r="U85" s="2" t="s">
        <v>88</v>
      </c>
      <c r="V85" s="1" t="s">
        <v>47</v>
      </c>
      <c r="W85" s="25">
        <v>10</v>
      </c>
      <c r="X85" s="25">
        <v>0.5</v>
      </c>
      <c r="Y85" t="s">
        <v>48</v>
      </c>
      <c r="Z85" s="25">
        <v>100</v>
      </c>
      <c r="AA85" s="25">
        <v>10</v>
      </c>
      <c r="AB85" s="25">
        <v>1</v>
      </c>
      <c r="AC85" s="25">
        <v>0</v>
      </c>
      <c r="AD85" s="25">
        <v>0.1</v>
      </c>
      <c r="AE85" s="29">
        <v>0.5</v>
      </c>
      <c r="AF85" s="25">
        <v>20</v>
      </c>
      <c r="AG85" s="25">
        <v>0</v>
      </c>
      <c r="AH85" s="25">
        <v>0</v>
      </c>
      <c r="AI85" s="25">
        <v>0</v>
      </c>
      <c r="AJ85" s="25">
        <v>0</v>
      </c>
      <c r="AK85" s="29">
        <v>7.8</v>
      </c>
      <c r="AL85">
        <v>25</v>
      </c>
      <c r="AM85" t="s">
        <v>43</v>
      </c>
      <c r="AN85" t="s">
        <v>89</v>
      </c>
    </row>
    <row r="86" spans="1:40" ht="14.45">
      <c r="A86" s="4" t="s">
        <v>250</v>
      </c>
      <c r="B86">
        <v>1989</v>
      </c>
      <c r="C86">
        <v>34</v>
      </c>
      <c r="D86">
        <v>11</v>
      </c>
      <c r="E86">
        <v>7</v>
      </c>
      <c r="F86">
        <v>1</v>
      </c>
      <c r="G86">
        <v>1</v>
      </c>
      <c r="H86">
        <v>0</v>
      </c>
      <c r="I86" t="s">
        <v>240</v>
      </c>
      <c r="J86" t="s">
        <v>241</v>
      </c>
      <c r="K86" t="s">
        <v>258</v>
      </c>
      <c r="L86" t="s">
        <v>259</v>
      </c>
      <c r="M86" t="str">
        <f t="shared" si="2"/>
        <v>Spinacia</v>
      </c>
      <c r="N86" s="7" t="s">
        <v>260</v>
      </c>
      <c r="O86" t="s">
        <v>261</v>
      </c>
      <c r="P86" t="str">
        <f t="shared" si="3"/>
        <v>Low</v>
      </c>
      <c r="Q86">
        <f>1-(17.188/17.13)</f>
        <v>-3.3858727378868192E-3</v>
      </c>
      <c r="R86" s="25">
        <v>1100</v>
      </c>
      <c r="S86">
        <v>0</v>
      </c>
      <c r="T86" s="5" t="s">
        <v>252</v>
      </c>
      <c r="U86" s="1" t="s">
        <v>88</v>
      </c>
      <c r="V86" s="1" t="s">
        <v>47</v>
      </c>
      <c r="W86" s="25">
        <v>10</v>
      </c>
      <c r="X86" s="25">
        <v>0.5</v>
      </c>
      <c r="Y86" t="s">
        <v>48</v>
      </c>
      <c r="Z86" s="25">
        <v>100</v>
      </c>
      <c r="AA86" s="25">
        <v>20</v>
      </c>
      <c r="AB86" s="25">
        <v>5</v>
      </c>
      <c r="AC86" s="25">
        <v>0</v>
      </c>
      <c r="AD86" s="25">
        <v>1</v>
      </c>
      <c r="AE86" s="29">
        <v>1.5</v>
      </c>
      <c r="AF86" s="25">
        <v>10</v>
      </c>
      <c r="AG86" s="25">
        <v>0</v>
      </c>
      <c r="AH86" s="25">
        <v>0</v>
      </c>
      <c r="AI86" s="25">
        <v>0</v>
      </c>
      <c r="AJ86" s="25">
        <v>0</v>
      </c>
      <c r="AK86" s="29">
        <v>8.1999999999999993</v>
      </c>
      <c r="AL86">
        <v>25</v>
      </c>
      <c r="AM86" t="s">
        <v>43</v>
      </c>
      <c r="AN86" t="s">
        <v>67</v>
      </c>
    </row>
    <row r="87" spans="1:40" ht="14.45">
      <c r="A87" s="4" t="s">
        <v>253</v>
      </c>
      <c r="B87">
        <v>1989</v>
      </c>
      <c r="C87">
        <v>34</v>
      </c>
      <c r="D87">
        <v>11</v>
      </c>
      <c r="E87">
        <v>7</v>
      </c>
      <c r="F87">
        <v>1</v>
      </c>
      <c r="G87">
        <v>1</v>
      </c>
      <c r="H87">
        <v>0</v>
      </c>
      <c r="I87" t="s">
        <v>240</v>
      </c>
      <c r="J87" t="s">
        <v>241</v>
      </c>
      <c r="K87" t="s">
        <v>258</v>
      </c>
      <c r="L87" t="s">
        <v>259</v>
      </c>
      <c r="M87" t="str">
        <f t="shared" si="2"/>
        <v>Spinacia</v>
      </c>
      <c r="N87" s="7" t="s">
        <v>260</v>
      </c>
      <c r="O87" t="s">
        <v>43</v>
      </c>
      <c r="P87" t="str">
        <f t="shared" si="3"/>
        <v>Moderate</v>
      </c>
      <c r="Q87">
        <f>1-(19.87/24.719)</f>
        <v>0.19616489340183663</v>
      </c>
      <c r="R87" s="25">
        <v>1450</v>
      </c>
      <c r="S87">
        <v>0</v>
      </c>
      <c r="T87" s="5" t="s">
        <v>254</v>
      </c>
      <c r="U87" s="1" t="s">
        <v>88</v>
      </c>
      <c r="V87" s="1" t="s">
        <v>47</v>
      </c>
      <c r="W87" s="25">
        <v>10</v>
      </c>
      <c r="X87" s="25">
        <v>0.5</v>
      </c>
      <c r="Y87" t="s">
        <v>48</v>
      </c>
      <c r="Z87" s="25">
        <v>100</v>
      </c>
      <c r="AA87" s="25">
        <v>20</v>
      </c>
      <c r="AB87" s="25">
        <v>5</v>
      </c>
      <c r="AC87" s="25">
        <v>0</v>
      </c>
      <c r="AD87" s="25">
        <v>1</v>
      </c>
      <c r="AE87" s="29">
        <v>1.5</v>
      </c>
      <c r="AF87" s="25">
        <v>10</v>
      </c>
      <c r="AG87" s="25">
        <v>0</v>
      </c>
      <c r="AH87" s="25">
        <v>0</v>
      </c>
      <c r="AI87" s="25">
        <v>0</v>
      </c>
      <c r="AJ87" s="25">
        <v>0</v>
      </c>
      <c r="AK87" s="29">
        <v>8.1999999999999993</v>
      </c>
      <c r="AL87">
        <v>25</v>
      </c>
      <c r="AM87" t="s">
        <v>43</v>
      </c>
      <c r="AN87" t="s">
        <v>67</v>
      </c>
    </row>
    <row r="88" spans="1:40" ht="14.45">
      <c r="A88" s="4" t="s">
        <v>262</v>
      </c>
      <c r="B88">
        <v>1990</v>
      </c>
      <c r="C88">
        <v>34</v>
      </c>
      <c r="D88">
        <v>11</v>
      </c>
      <c r="E88">
        <v>7</v>
      </c>
      <c r="F88">
        <v>1</v>
      </c>
      <c r="G88">
        <v>1</v>
      </c>
      <c r="H88">
        <v>0</v>
      </c>
      <c r="I88" t="s">
        <v>240</v>
      </c>
      <c r="J88" t="s">
        <v>241</v>
      </c>
      <c r="K88" t="s">
        <v>258</v>
      </c>
      <c r="L88" t="s">
        <v>259</v>
      </c>
      <c r="M88" t="str">
        <f t="shared" si="2"/>
        <v>Spinacia</v>
      </c>
      <c r="N88" s="7" t="s">
        <v>260</v>
      </c>
      <c r="O88" t="s">
        <v>43</v>
      </c>
      <c r="P88" t="str">
        <f t="shared" si="3"/>
        <v>Low</v>
      </c>
      <c r="Q88">
        <v>0</v>
      </c>
      <c r="R88" s="25">
        <v>1000</v>
      </c>
      <c r="S88">
        <v>0</v>
      </c>
      <c r="T88" s="5" t="s">
        <v>263</v>
      </c>
      <c r="U88" s="2" t="s">
        <v>56</v>
      </c>
      <c r="V88" s="1" t="s">
        <v>47</v>
      </c>
      <c r="W88" s="25">
        <v>12</v>
      </c>
      <c r="X88" s="25" t="s">
        <v>43</v>
      </c>
      <c r="Y88" t="s">
        <v>201</v>
      </c>
      <c r="Z88" s="25">
        <v>110</v>
      </c>
      <c r="AA88" s="25">
        <v>11</v>
      </c>
      <c r="AB88" s="25">
        <v>0</v>
      </c>
      <c r="AC88" s="25">
        <v>0</v>
      </c>
      <c r="AD88" s="25">
        <v>0</v>
      </c>
      <c r="AE88" s="29">
        <v>0.9</v>
      </c>
      <c r="AF88" s="25">
        <v>10</v>
      </c>
      <c r="AG88" s="25">
        <v>0</v>
      </c>
      <c r="AH88" s="25">
        <v>0</v>
      </c>
      <c r="AI88" s="25">
        <v>0</v>
      </c>
      <c r="AJ88" s="25">
        <v>0</v>
      </c>
      <c r="AK88" s="29">
        <v>8</v>
      </c>
      <c r="AL88">
        <v>24</v>
      </c>
      <c r="AM88" t="s">
        <v>264</v>
      </c>
      <c r="AN88" t="s">
        <v>265</v>
      </c>
    </row>
    <row r="89" spans="1:40">
      <c r="A89" s="4" t="s">
        <v>112</v>
      </c>
      <c r="B89">
        <v>1993</v>
      </c>
      <c r="C89">
        <v>34</v>
      </c>
      <c r="D89">
        <v>11</v>
      </c>
      <c r="E89">
        <v>7</v>
      </c>
      <c r="F89">
        <v>1</v>
      </c>
      <c r="G89">
        <v>1</v>
      </c>
      <c r="H89">
        <v>0</v>
      </c>
      <c r="I89" t="s">
        <v>240</v>
      </c>
      <c r="J89" t="s">
        <v>241</v>
      </c>
      <c r="K89" t="s">
        <v>258</v>
      </c>
      <c r="L89" t="s">
        <v>259</v>
      </c>
      <c r="M89" t="str">
        <f t="shared" si="2"/>
        <v>Spinacia</v>
      </c>
      <c r="N89" s="7" t="s">
        <v>260</v>
      </c>
      <c r="O89" t="s">
        <v>43</v>
      </c>
      <c r="P89" t="str">
        <f t="shared" si="3"/>
        <v>Low</v>
      </c>
      <c r="Q89">
        <v>-0.06</v>
      </c>
      <c r="R89" s="25">
        <v>1200</v>
      </c>
      <c r="S89">
        <v>100</v>
      </c>
      <c r="T89" s="5" t="s">
        <v>114</v>
      </c>
      <c r="U89" s="1" t="s">
        <v>115</v>
      </c>
      <c r="V89" s="1" t="s">
        <v>47</v>
      </c>
      <c r="W89" s="25">
        <v>10</v>
      </c>
      <c r="X89" s="25">
        <v>0.5</v>
      </c>
      <c r="Y89" t="s">
        <v>48</v>
      </c>
      <c r="Z89" s="25">
        <v>100</v>
      </c>
      <c r="AA89" s="25">
        <v>28</v>
      </c>
      <c r="AB89" s="25">
        <v>1</v>
      </c>
      <c r="AC89" s="25">
        <v>0</v>
      </c>
      <c r="AD89" s="25">
        <v>1</v>
      </c>
      <c r="AE89" s="29" t="s">
        <v>43</v>
      </c>
      <c r="AF89" s="25">
        <v>20</v>
      </c>
      <c r="AG89" s="25">
        <v>0</v>
      </c>
      <c r="AH89" s="25">
        <v>2</v>
      </c>
      <c r="AI89" s="25">
        <v>0</v>
      </c>
      <c r="AJ89" s="25">
        <v>0</v>
      </c>
      <c r="AK89" s="29">
        <v>8</v>
      </c>
      <c r="AL89">
        <v>25</v>
      </c>
      <c r="AM89" t="s">
        <v>116</v>
      </c>
      <c r="AN89" t="s">
        <v>67</v>
      </c>
    </row>
    <row r="90" spans="1:40">
      <c r="A90" s="4" t="s">
        <v>105</v>
      </c>
      <c r="B90">
        <v>1986</v>
      </c>
      <c r="C90">
        <v>34</v>
      </c>
      <c r="D90">
        <v>11</v>
      </c>
      <c r="E90">
        <v>7</v>
      </c>
      <c r="F90">
        <v>2</v>
      </c>
      <c r="G90">
        <v>4</v>
      </c>
      <c r="H90">
        <v>0</v>
      </c>
      <c r="I90" t="s">
        <v>240</v>
      </c>
      <c r="J90" t="s">
        <v>241</v>
      </c>
      <c r="K90" t="s">
        <v>258</v>
      </c>
      <c r="L90" t="s">
        <v>266</v>
      </c>
      <c r="M90" t="str">
        <f t="shared" si="2"/>
        <v>Chenopodium</v>
      </c>
      <c r="N90" s="7" t="s">
        <v>267</v>
      </c>
      <c r="O90" t="s">
        <v>43</v>
      </c>
      <c r="P90" t="str">
        <f t="shared" si="3"/>
        <v>Low</v>
      </c>
      <c r="Q90">
        <v>-0.1399999999999999</v>
      </c>
      <c r="R90" s="25">
        <v>1000</v>
      </c>
      <c r="S90">
        <v>10</v>
      </c>
      <c r="T90" s="5" t="s">
        <v>110</v>
      </c>
      <c r="U90" s="1" t="s">
        <v>111</v>
      </c>
      <c r="V90" s="1" t="s">
        <v>47</v>
      </c>
      <c r="W90" s="25">
        <v>10</v>
      </c>
      <c r="X90" s="25">
        <v>0.5</v>
      </c>
      <c r="Y90" t="s">
        <v>48</v>
      </c>
      <c r="Z90" s="25">
        <v>100</v>
      </c>
      <c r="AA90" s="25">
        <v>5</v>
      </c>
      <c r="AB90" s="25">
        <v>0</v>
      </c>
      <c r="AC90" s="25">
        <v>5</v>
      </c>
      <c r="AD90" s="25">
        <v>0</v>
      </c>
      <c r="AE90" s="29">
        <v>0.66</v>
      </c>
      <c r="AF90" s="25">
        <v>10</v>
      </c>
      <c r="AG90" s="25">
        <v>0</v>
      </c>
      <c r="AH90" s="25">
        <v>0</v>
      </c>
      <c r="AI90" s="25">
        <v>0</v>
      </c>
      <c r="AJ90" s="25">
        <v>0</v>
      </c>
      <c r="AK90" s="29">
        <v>8</v>
      </c>
      <c r="AL90">
        <v>25</v>
      </c>
      <c r="AM90" t="s">
        <v>43</v>
      </c>
      <c r="AN90" t="s">
        <v>67</v>
      </c>
    </row>
    <row r="91" spans="1:40">
      <c r="A91" s="4" t="s">
        <v>268</v>
      </c>
      <c r="B91">
        <v>1993</v>
      </c>
      <c r="C91">
        <v>34</v>
      </c>
      <c r="D91">
        <v>11</v>
      </c>
      <c r="E91">
        <v>7</v>
      </c>
      <c r="F91">
        <v>2</v>
      </c>
      <c r="G91">
        <v>4</v>
      </c>
      <c r="H91">
        <v>0</v>
      </c>
      <c r="I91" t="s">
        <v>240</v>
      </c>
      <c r="J91" t="s">
        <v>241</v>
      </c>
      <c r="K91" t="s">
        <v>258</v>
      </c>
      <c r="L91" t="s">
        <v>266</v>
      </c>
      <c r="M91" t="str">
        <f t="shared" si="2"/>
        <v>Chenopodium</v>
      </c>
      <c r="N91" s="7" t="s">
        <v>267</v>
      </c>
      <c r="O91" t="s">
        <v>43</v>
      </c>
      <c r="P91" t="str">
        <f t="shared" si="3"/>
        <v>Low</v>
      </c>
      <c r="Q91">
        <f>(17.1-18.1)/17.1</f>
        <v>-5.8479532163742687E-2</v>
      </c>
      <c r="R91" s="25">
        <v>1200</v>
      </c>
      <c r="S91">
        <v>50</v>
      </c>
      <c r="T91" s="5" t="s">
        <v>269</v>
      </c>
      <c r="U91" s="1" t="s">
        <v>115</v>
      </c>
      <c r="V91" s="1" t="s">
        <v>47</v>
      </c>
      <c r="W91" s="25">
        <v>10</v>
      </c>
      <c r="X91" s="25" t="s">
        <v>43</v>
      </c>
      <c r="Y91" t="s">
        <v>48</v>
      </c>
      <c r="Z91" s="25">
        <v>100</v>
      </c>
      <c r="AA91" s="25">
        <v>20</v>
      </c>
      <c r="AB91" s="25">
        <v>1</v>
      </c>
      <c r="AC91" s="25">
        <v>0</v>
      </c>
      <c r="AD91" s="25">
        <v>0</v>
      </c>
      <c r="AE91" s="29">
        <v>0.5</v>
      </c>
      <c r="AF91" s="25">
        <v>10</v>
      </c>
      <c r="AG91" s="25">
        <v>0</v>
      </c>
      <c r="AH91" s="25">
        <v>0</v>
      </c>
      <c r="AI91" s="25">
        <v>0</v>
      </c>
      <c r="AJ91" s="25">
        <v>0</v>
      </c>
      <c r="AK91" s="29">
        <v>8</v>
      </c>
      <c r="AL91">
        <v>25</v>
      </c>
      <c r="AM91" t="s">
        <v>270</v>
      </c>
      <c r="AN91" t="s">
        <v>67</v>
      </c>
    </row>
    <row r="92" spans="1:40">
      <c r="A92" s="4" t="s">
        <v>112</v>
      </c>
      <c r="B92">
        <v>1993</v>
      </c>
      <c r="C92">
        <v>34</v>
      </c>
      <c r="D92">
        <v>11</v>
      </c>
      <c r="E92">
        <v>7</v>
      </c>
      <c r="F92">
        <v>2</v>
      </c>
      <c r="G92">
        <v>4</v>
      </c>
      <c r="H92">
        <v>0</v>
      </c>
      <c r="I92" t="s">
        <v>240</v>
      </c>
      <c r="J92" t="s">
        <v>241</v>
      </c>
      <c r="K92" t="s">
        <v>258</v>
      </c>
      <c r="L92" t="s">
        <v>266</v>
      </c>
      <c r="M92" t="str">
        <f t="shared" si="2"/>
        <v>Chenopodium</v>
      </c>
      <c r="N92" s="7" t="s">
        <v>267</v>
      </c>
      <c r="O92" t="s">
        <v>43</v>
      </c>
      <c r="P92" t="str">
        <f t="shared" si="3"/>
        <v>Low</v>
      </c>
      <c r="Q92">
        <v>0.01</v>
      </c>
      <c r="R92" s="25">
        <v>1200</v>
      </c>
      <c r="S92">
        <v>100</v>
      </c>
      <c r="T92" s="5" t="s">
        <v>114</v>
      </c>
      <c r="U92" s="1" t="s">
        <v>115</v>
      </c>
      <c r="V92" s="1" t="s">
        <v>47</v>
      </c>
      <c r="W92" s="25">
        <v>10</v>
      </c>
      <c r="X92" s="25">
        <v>0.5</v>
      </c>
      <c r="Y92" t="s">
        <v>48</v>
      </c>
      <c r="Z92" s="25">
        <v>100</v>
      </c>
      <c r="AA92" s="25">
        <v>28</v>
      </c>
      <c r="AB92" s="25">
        <v>1</v>
      </c>
      <c r="AC92" s="25">
        <v>0</v>
      </c>
      <c r="AD92" s="25">
        <v>1</v>
      </c>
      <c r="AE92" s="29" t="s">
        <v>43</v>
      </c>
      <c r="AF92" s="25">
        <v>20</v>
      </c>
      <c r="AG92" s="25">
        <v>0</v>
      </c>
      <c r="AH92" s="25">
        <v>2</v>
      </c>
      <c r="AI92" s="25">
        <v>0</v>
      </c>
      <c r="AJ92" s="25">
        <v>0</v>
      </c>
      <c r="AK92" s="29">
        <v>8</v>
      </c>
      <c r="AL92">
        <v>25</v>
      </c>
      <c r="AM92" t="s">
        <v>116</v>
      </c>
      <c r="AN92" t="s">
        <v>67</v>
      </c>
    </row>
    <row r="93" spans="1:40">
      <c r="A93" s="4" t="s">
        <v>112</v>
      </c>
      <c r="B93">
        <v>1993</v>
      </c>
      <c r="C93">
        <v>34</v>
      </c>
      <c r="D93">
        <v>11</v>
      </c>
      <c r="E93">
        <v>7</v>
      </c>
      <c r="F93">
        <v>2</v>
      </c>
      <c r="G93">
        <v>6</v>
      </c>
      <c r="H93">
        <v>0</v>
      </c>
      <c r="I93" t="s">
        <v>240</v>
      </c>
      <c r="J93" t="s">
        <v>241</v>
      </c>
      <c r="K93" t="s">
        <v>258</v>
      </c>
      <c r="L93" t="s">
        <v>266</v>
      </c>
      <c r="M93" t="str">
        <f t="shared" si="2"/>
        <v>Atriplex</v>
      </c>
      <c r="N93" s="7" t="s">
        <v>271</v>
      </c>
      <c r="O93" t="s">
        <v>43</v>
      </c>
      <c r="P93" t="str">
        <f t="shared" si="3"/>
        <v>Low</v>
      </c>
      <c r="Q93">
        <v>0.01</v>
      </c>
      <c r="R93" s="25">
        <v>1200</v>
      </c>
      <c r="S93">
        <v>100</v>
      </c>
      <c r="T93" s="5" t="s">
        <v>114</v>
      </c>
      <c r="U93" s="1" t="s">
        <v>115</v>
      </c>
      <c r="V93" s="1" t="s">
        <v>47</v>
      </c>
      <c r="W93" s="25">
        <v>10</v>
      </c>
      <c r="X93" s="25">
        <v>0.5</v>
      </c>
      <c r="Y93" t="s">
        <v>48</v>
      </c>
      <c r="Z93" s="25">
        <v>100</v>
      </c>
      <c r="AA93" s="25">
        <v>28</v>
      </c>
      <c r="AB93" s="25">
        <v>1</v>
      </c>
      <c r="AC93" s="25">
        <v>0</v>
      </c>
      <c r="AD93" s="25">
        <v>1</v>
      </c>
      <c r="AE93" s="29" t="s">
        <v>43</v>
      </c>
      <c r="AF93" s="25">
        <v>20</v>
      </c>
      <c r="AG93" s="25">
        <v>0</v>
      </c>
      <c r="AH93" s="25">
        <v>2</v>
      </c>
      <c r="AI93" s="25">
        <v>0</v>
      </c>
      <c r="AJ93" s="25">
        <v>0</v>
      </c>
      <c r="AK93" s="29">
        <v>8</v>
      </c>
      <c r="AL93">
        <v>25</v>
      </c>
      <c r="AM93" t="s">
        <v>116</v>
      </c>
      <c r="AN93" t="s">
        <v>67</v>
      </c>
    </row>
    <row r="94" spans="1:40">
      <c r="A94" s="4" t="s">
        <v>105</v>
      </c>
      <c r="B94">
        <v>1986</v>
      </c>
      <c r="C94">
        <v>34</v>
      </c>
      <c r="D94">
        <v>23</v>
      </c>
      <c r="E94">
        <v>3</v>
      </c>
      <c r="F94">
        <v>0</v>
      </c>
      <c r="G94">
        <v>3</v>
      </c>
      <c r="H94">
        <v>0</v>
      </c>
      <c r="I94" t="s">
        <v>240</v>
      </c>
      <c r="J94" t="s">
        <v>272</v>
      </c>
      <c r="K94" t="s">
        <v>273</v>
      </c>
      <c r="L94" t="s">
        <v>43</v>
      </c>
      <c r="M94" t="str">
        <f t="shared" si="2"/>
        <v>Mesembryanthemum</v>
      </c>
      <c r="N94" s="7" t="s">
        <v>274</v>
      </c>
      <c r="O94" t="s">
        <v>43</v>
      </c>
      <c r="P94" t="str">
        <f t="shared" si="3"/>
        <v>Moderate</v>
      </c>
      <c r="Q94">
        <v>0.22999999999999998</v>
      </c>
      <c r="R94" s="25">
        <v>1000</v>
      </c>
      <c r="S94">
        <v>10</v>
      </c>
      <c r="T94" s="5" t="s">
        <v>110</v>
      </c>
      <c r="U94" s="1" t="s">
        <v>111</v>
      </c>
      <c r="V94" s="1" t="s">
        <v>47</v>
      </c>
      <c r="W94" s="25">
        <v>10</v>
      </c>
      <c r="X94" s="25">
        <v>0.5</v>
      </c>
      <c r="Y94" t="s">
        <v>48</v>
      </c>
      <c r="Z94" s="25">
        <v>100</v>
      </c>
      <c r="AA94" s="25">
        <v>5</v>
      </c>
      <c r="AB94" s="25">
        <v>0</v>
      </c>
      <c r="AC94" s="25">
        <v>5</v>
      </c>
      <c r="AD94" s="25">
        <v>0</v>
      </c>
      <c r="AE94" s="29">
        <v>0.66</v>
      </c>
      <c r="AF94" s="25">
        <v>10</v>
      </c>
      <c r="AG94" s="25">
        <v>0</v>
      </c>
      <c r="AH94" s="25">
        <v>0</v>
      </c>
      <c r="AI94" s="25">
        <v>0</v>
      </c>
      <c r="AJ94" s="25">
        <v>0</v>
      </c>
      <c r="AK94" s="29">
        <v>8</v>
      </c>
      <c r="AL94">
        <v>25</v>
      </c>
      <c r="AM94" t="s">
        <v>43</v>
      </c>
      <c r="AN94" t="s">
        <v>67</v>
      </c>
    </row>
    <row r="95" spans="1:40">
      <c r="A95" s="4" t="s">
        <v>105</v>
      </c>
      <c r="B95">
        <v>1986</v>
      </c>
      <c r="C95">
        <v>34</v>
      </c>
      <c r="D95">
        <v>30</v>
      </c>
      <c r="E95">
        <v>0</v>
      </c>
      <c r="F95">
        <v>0</v>
      </c>
      <c r="G95">
        <v>1</v>
      </c>
      <c r="H95">
        <v>0</v>
      </c>
      <c r="I95" t="s">
        <v>240</v>
      </c>
      <c r="J95" t="s">
        <v>275</v>
      </c>
      <c r="K95" t="s">
        <v>43</v>
      </c>
      <c r="L95" t="s">
        <v>43</v>
      </c>
      <c r="M95" t="str">
        <f t="shared" si="2"/>
        <v>Portulaca</v>
      </c>
      <c r="N95" s="7" t="s">
        <v>276</v>
      </c>
      <c r="O95" t="s">
        <v>43</v>
      </c>
      <c r="P95" t="str">
        <f t="shared" si="3"/>
        <v>Moderate</v>
      </c>
      <c r="Q95">
        <v>0.25</v>
      </c>
      <c r="R95" s="25">
        <v>1000</v>
      </c>
      <c r="S95">
        <v>10</v>
      </c>
      <c r="T95" s="5" t="s">
        <v>110</v>
      </c>
      <c r="U95" s="1" t="s">
        <v>111</v>
      </c>
      <c r="V95" s="1" t="s">
        <v>47</v>
      </c>
      <c r="W95" s="25">
        <v>10</v>
      </c>
      <c r="X95" s="25">
        <v>0.5</v>
      </c>
      <c r="Y95" t="s">
        <v>48</v>
      </c>
      <c r="Z95" s="25">
        <v>100</v>
      </c>
      <c r="AA95" s="25">
        <v>5</v>
      </c>
      <c r="AB95" s="25">
        <v>0</v>
      </c>
      <c r="AC95" s="25">
        <v>5</v>
      </c>
      <c r="AD95" s="25">
        <v>0</v>
      </c>
      <c r="AE95" s="29">
        <v>0.66</v>
      </c>
      <c r="AF95" s="25">
        <v>10</v>
      </c>
      <c r="AG95" s="25">
        <v>0</v>
      </c>
      <c r="AH95" s="25">
        <v>0</v>
      </c>
      <c r="AI95" s="25">
        <v>0</v>
      </c>
      <c r="AJ95" s="25">
        <v>0</v>
      </c>
      <c r="AK95" s="29">
        <v>8</v>
      </c>
      <c r="AL95">
        <v>25</v>
      </c>
      <c r="AM95" t="s">
        <v>43</v>
      </c>
      <c r="AN95" t="s">
        <v>67</v>
      </c>
    </row>
    <row r="96" spans="1:40">
      <c r="A96" s="4" t="s">
        <v>112</v>
      </c>
      <c r="B96">
        <v>1993</v>
      </c>
      <c r="C96">
        <v>34</v>
      </c>
      <c r="D96">
        <v>30</v>
      </c>
      <c r="E96">
        <v>0</v>
      </c>
      <c r="F96">
        <v>0</v>
      </c>
      <c r="G96">
        <v>1</v>
      </c>
      <c r="H96">
        <v>0</v>
      </c>
      <c r="I96" t="s">
        <v>240</v>
      </c>
      <c r="J96" t="s">
        <v>275</v>
      </c>
      <c r="K96" t="s">
        <v>43</v>
      </c>
      <c r="L96" t="s">
        <v>43</v>
      </c>
      <c r="M96" t="str">
        <f t="shared" si="2"/>
        <v>Portulaca</v>
      </c>
      <c r="N96" s="7" t="s">
        <v>276</v>
      </c>
      <c r="O96" t="s">
        <v>43</v>
      </c>
      <c r="P96" t="str">
        <f t="shared" si="3"/>
        <v>Low</v>
      </c>
      <c r="Q96">
        <v>0.03</v>
      </c>
      <c r="R96" s="25">
        <v>1200</v>
      </c>
      <c r="S96">
        <v>100</v>
      </c>
      <c r="T96" s="5" t="s">
        <v>114</v>
      </c>
      <c r="U96" s="1" t="s">
        <v>115</v>
      </c>
      <c r="V96" s="1" t="s">
        <v>47</v>
      </c>
      <c r="W96" s="25">
        <v>10</v>
      </c>
      <c r="X96" s="25">
        <v>0.5</v>
      </c>
      <c r="Y96" t="s">
        <v>48</v>
      </c>
      <c r="Z96" s="25">
        <v>100</v>
      </c>
      <c r="AA96" s="25">
        <v>28</v>
      </c>
      <c r="AB96" s="25">
        <v>1</v>
      </c>
      <c r="AC96" s="25">
        <v>0</v>
      </c>
      <c r="AD96" s="25">
        <v>1</v>
      </c>
      <c r="AE96" s="29" t="s">
        <v>43</v>
      </c>
      <c r="AF96" s="25">
        <v>20</v>
      </c>
      <c r="AG96" s="25">
        <v>0</v>
      </c>
      <c r="AH96" s="25">
        <v>2</v>
      </c>
      <c r="AI96" s="25">
        <v>0</v>
      </c>
      <c r="AJ96" s="25">
        <v>0</v>
      </c>
      <c r="AK96" s="29">
        <v>8</v>
      </c>
      <c r="AL96">
        <v>25</v>
      </c>
      <c r="AM96" t="s">
        <v>116</v>
      </c>
      <c r="AN96" t="s">
        <v>67</v>
      </c>
    </row>
    <row r="97" spans="1:40">
      <c r="A97" s="4" t="s">
        <v>112</v>
      </c>
      <c r="B97">
        <v>1993</v>
      </c>
      <c r="C97">
        <v>34</v>
      </c>
      <c r="D97">
        <v>30</v>
      </c>
      <c r="E97">
        <v>0</v>
      </c>
      <c r="F97">
        <v>0</v>
      </c>
      <c r="G97">
        <v>1</v>
      </c>
      <c r="H97">
        <v>0</v>
      </c>
      <c r="I97" t="s">
        <v>240</v>
      </c>
      <c r="J97" t="s">
        <v>275</v>
      </c>
      <c r="K97" t="s">
        <v>43</v>
      </c>
      <c r="L97" t="s">
        <v>43</v>
      </c>
      <c r="M97" t="str">
        <f t="shared" si="2"/>
        <v>Portulaca</v>
      </c>
      <c r="N97" s="7" t="s">
        <v>277</v>
      </c>
      <c r="O97" t="s">
        <v>43</v>
      </c>
      <c r="P97" t="str">
        <f t="shared" si="3"/>
        <v>Low</v>
      </c>
      <c r="Q97">
        <v>-0.02</v>
      </c>
      <c r="R97" s="25">
        <v>1200</v>
      </c>
      <c r="S97">
        <v>100</v>
      </c>
      <c r="T97" s="5" t="s">
        <v>114</v>
      </c>
      <c r="U97" s="1" t="s">
        <v>115</v>
      </c>
      <c r="V97" s="1" t="s">
        <v>47</v>
      </c>
      <c r="W97" s="25">
        <v>10</v>
      </c>
      <c r="X97" s="25">
        <v>0.5</v>
      </c>
      <c r="Y97" t="s">
        <v>48</v>
      </c>
      <c r="Z97" s="25">
        <v>100</v>
      </c>
      <c r="AA97" s="25">
        <v>28</v>
      </c>
      <c r="AB97" s="25">
        <v>1</v>
      </c>
      <c r="AC97" s="25">
        <v>0</v>
      </c>
      <c r="AD97" s="25">
        <v>1</v>
      </c>
      <c r="AE97" s="29" t="s">
        <v>43</v>
      </c>
      <c r="AF97" s="25">
        <v>20</v>
      </c>
      <c r="AG97" s="25">
        <v>0</v>
      </c>
      <c r="AH97" s="25">
        <v>2</v>
      </c>
      <c r="AI97" s="25">
        <v>0</v>
      </c>
      <c r="AJ97" s="25">
        <v>0</v>
      </c>
      <c r="AK97" s="29">
        <v>8</v>
      </c>
      <c r="AL97">
        <v>25</v>
      </c>
      <c r="AM97" t="s">
        <v>116</v>
      </c>
      <c r="AN97" t="s">
        <v>67</v>
      </c>
    </row>
    <row r="98" spans="1:40">
      <c r="A98" s="4" t="s">
        <v>105</v>
      </c>
      <c r="B98">
        <v>1986</v>
      </c>
      <c r="C98">
        <v>38</v>
      </c>
      <c r="D98">
        <v>15</v>
      </c>
      <c r="E98">
        <v>1</v>
      </c>
      <c r="F98">
        <v>0</v>
      </c>
      <c r="G98">
        <v>1</v>
      </c>
      <c r="H98">
        <v>0</v>
      </c>
      <c r="I98" t="s">
        <v>278</v>
      </c>
      <c r="J98" t="s">
        <v>279</v>
      </c>
      <c r="K98" t="s">
        <v>280</v>
      </c>
      <c r="L98" t="s">
        <v>43</v>
      </c>
      <c r="M98" t="str">
        <f t="shared" si="2"/>
        <v>Crassula</v>
      </c>
      <c r="N98" s="7" t="s">
        <v>281</v>
      </c>
      <c r="O98" t="s">
        <v>43</v>
      </c>
      <c r="P98" t="str">
        <f t="shared" si="3"/>
        <v>Moderate</v>
      </c>
      <c r="Q98">
        <v>0.44999999999999996</v>
      </c>
      <c r="R98" s="25">
        <v>1000</v>
      </c>
      <c r="S98">
        <v>10</v>
      </c>
      <c r="T98" s="5" t="s">
        <v>110</v>
      </c>
      <c r="U98" s="1" t="s">
        <v>111</v>
      </c>
      <c r="V98" s="1" t="s">
        <v>47</v>
      </c>
      <c r="W98" s="25">
        <v>10</v>
      </c>
      <c r="X98" s="25">
        <v>0.5</v>
      </c>
      <c r="Y98" t="s">
        <v>48</v>
      </c>
      <c r="Z98" s="25">
        <v>100</v>
      </c>
      <c r="AA98" s="25">
        <v>5</v>
      </c>
      <c r="AB98" s="25">
        <v>0</v>
      </c>
      <c r="AC98" s="25">
        <v>5</v>
      </c>
      <c r="AD98" s="25">
        <v>0</v>
      </c>
      <c r="AE98" s="29">
        <v>0.66</v>
      </c>
      <c r="AF98" s="25">
        <v>10</v>
      </c>
      <c r="AG98" s="25">
        <v>0</v>
      </c>
      <c r="AH98" s="25">
        <v>0</v>
      </c>
      <c r="AI98" s="25">
        <v>0</v>
      </c>
      <c r="AJ98" s="25">
        <v>0</v>
      </c>
      <c r="AK98" s="29">
        <v>8</v>
      </c>
      <c r="AL98">
        <v>25</v>
      </c>
      <c r="AM98" t="s">
        <v>43</v>
      </c>
      <c r="AN98" t="s">
        <v>67</v>
      </c>
    </row>
    <row r="99" spans="1:40">
      <c r="A99" s="4" t="s">
        <v>105</v>
      </c>
      <c r="B99">
        <v>1986</v>
      </c>
      <c r="C99">
        <v>38</v>
      </c>
      <c r="D99">
        <v>15</v>
      </c>
      <c r="E99">
        <v>2</v>
      </c>
      <c r="F99">
        <v>0</v>
      </c>
      <c r="G99">
        <v>1</v>
      </c>
      <c r="H99">
        <v>0</v>
      </c>
      <c r="I99" t="s">
        <v>278</v>
      </c>
      <c r="J99" t="s">
        <v>279</v>
      </c>
      <c r="K99" t="s">
        <v>282</v>
      </c>
      <c r="L99" t="s">
        <v>43</v>
      </c>
      <c r="M99" t="str">
        <f t="shared" si="2"/>
        <v>Kalanchoe</v>
      </c>
      <c r="N99" s="7" t="s">
        <v>283</v>
      </c>
      <c r="O99" t="s">
        <v>43</v>
      </c>
      <c r="P99" t="str">
        <f t="shared" si="3"/>
        <v>Low</v>
      </c>
      <c r="Q99">
        <v>-0.8</v>
      </c>
      <c r="R99" s="25">
        <v>1000</v>
      </c>
      <c r="S99">
        <v>10</v>
      </c>
      <c r="T99" s="5" t="s">
        <v>110</v>
      </c>
      <c r="U99" s="1" t="s">
        <v>111</v>
      </c>
      <c r="V99" s="1" t="s">
        <v>47</v>
      </c>
      <c r="W99" s="25">
        <v>10</v>
      </c>
      <c r="X99" s="25">
        <v>0.5</v>
      </c>
      <c r="Y99" t="s">
        <v>48</v>
      </c>
      <c r="Z99" s="25">
        <v>100</v>
      </c>
      <c r="AA99" s="25">
        <v>5</v>
      </c>
      <c r="AB99" s="25">
        <v>0</v>
      </c>
      <c r="AC99" s="25">
        <v>5</v>
      </c>
      <c r="AD99" s="25">
        <v>0</v>
      </c>
      <c r="AE99" s="29">
        <v>0.66</v>
      </c>
      <c r="AF99" s="25">
        <v>10</v>
      </c>
      <c r="AG99" s="25">
        <v>0</v>
      </c>
      <c r="AH99" s="25">
        <v>0</v>
      </c>
      <c r="AI99" s="25">
        <v>0</v>
      </c>
      <c r="AJ99" s="25">
        <v>0</v>
      </c>
      <c r="AK99" s="29">
        <v>8</v>
      </c>
      <c r="AL99">
        <v>25</v>
      </c>
      <c r="AM99" t="s">
        <v>43</v>
      </c>
      <c r="AN99" t="s">
        <v>67</v>
      </c>
    </row>
    <row r="100" spans="1:40">
      <c r="A100" s="4" t="s">
        <v>284</v>
      </c>
      <c r="B100">
        <v>1999</v>
      </c>
      <c r="C100">
        <v>38</v>
      </c>
      <c r="D100">
        <v>15</v>
      </c>
      <c r="E100">
        <v>2</v>
      </c>
      <c r="F100">
        <v>0</v>
      </c>
      <c r="G100">
        <v>1</v>
      </c>
      <c r="H100">
        <v>0</v>
      </c>
      <c r="I100" t="s">
        <v>278</v>
      </c>
      <c r="J100" t="s">
        <v>279</v>
      </c>
      <c r="K100" t="s">
        <v>282</v>
      </c>
      <c r="L100" t="s">
        <v>43</v>
      </c>
      <c r="M100" t="str">
        <f t="shared" si="2"/>
        <v>Kalanchoe</v>
      </c>
      <c r="N100" s="7" t="s">
        <v>285</v>
      </c>
      <c r="O100" t="s">
        <v>286</v>
      </c>
      <c r="P100" t="str">
        <f t="shared" si="3"/>
        <v>Moderate</v>
      </c>
      <c r="Q100">
        <f>1-(16.11/28.764)</f>
        <v>0.43992490613266588</v>
      </c>
      <c r="R100" s="25">
        <v>500</v>
      </c>
      <c r="S100">
        <v>0</v>
      </c>
      <c r="T100" s="5" t="s">
        <v>287</v>
      </c>
      <c r="U100" s="1" t="s">
        <v>288</v>
      </c>
      <c r="V100" s="1" t="s">
        <v>47</v>
      </c>
      <c r="W100" s="25" t="s">
        <v>43</v>
      </c>
      <c r="X100" s="25" t="s">
        <v>43</v>
      </c>
      <c r="Y100" t="s">
        <v>48</v>
      </c>
      <c r="Z100" s="25">
        <v>166</v>
      </c>
      <c r="AA100" s="25">
        <v>10</v>
      </c>
      <c r="AB100" s="25">
        <v>5</v>
      </c>
      <c r="AC100" s="25">
        <v>2.8</v>
      </c>
      <c r="AD100" s="25">
        <v>1</v>
      </c>
      <c r="AE100" s="29">
        <v>0.5</v>
      </c>
      <c r="AF100" s="25">
        <v>25</v>
      </c>
      <c r="AG100" s="25">
        <v>0</v>
      </c>
      <c r="AH100" s="25">
        <v>0</v>
      </c>
      <c r="AI100" s="25">
        <v>0</v>
      </c>
      <c r="AJ100" s="25">
        <v>0</v>
      </c>
      <c r="AK100" s="29">
        <v>8</v>
      </c>
      <c r="AL100">
        <v>30</v>
      </c>
      <c r="AM100" t="s">
        <v>289</v>
      </c>
      <c r="AN100" t="s">
        <v>67</v>
      </c>
    </row>
    <row r="101" spans="1:40">
      <c r="A101" s="4" t="s">
        <v>290</v>
      </c>
      <c r="B101">
        <v>2002</v>
      </c>
      <c r="C101">
        <v>38</v>
      </c>
      <c r="D101">
        <v>15</v>
      </c>
      <c r="E101">
        <v>2</v>
      </c>
      <c r="F101">
        <v>0</v>
      </c>
      <c r="G101">
        <v>1</v>
      </c>
      <c r="H101">
        <v>0</v>
      </c>
      <c r="I101" t="s">
        <v>278</v>
      </c>
      <c r="J101" t="s">
        <v>279</v>
      </c>
      <c r="K101" t="s">
        <v>282</v>
      </c>
      <c r="L101" t="s">
        <v>43</v>
      </c>
      <c r="M101" t="str">
        <f t="shared" si="2"/>
        <v>Kalanchoe</v>
      </c>
      <c r="N101" s="7" t="s">
        <v>285</v>
      </c>
      <c r="O101" t="s">
        <v>43</v>
      </c>
      <c r="P101" t="str">
        <f t="shared" si="3"/>
        <v>High</v>
      </c>
      <c r="Q101">
        <f>1-(17.18/37.29)</f>
        <v>0.53928667203003489</v>
      </c>
      <c r="R101" s="25">
        <v>300</v>
      </c>
      <c r="S101">
        <v>0</v>
      </c>
      <c r="T101" s="5" t="s">
        <v>291</v>
      </c>
      <c r="U101" s="1" t="s">
        <v>288</v>
      </c>
      <c r="V101" s="1" t="s">
        <v>47</v>
      </c>
      <c r="W101" s="25" t="s">
        <v>43</v>
      </c>
      <c r="X101" s="25" t="s">
        <v>43</v>
      </c>
      <c r="Y101" t="s">
        <v>292</v>
      </c>
      <c r="Z101" s="25">
        <v>166</v>
      </c>
      <c r="AA101" s="25">
        <v>10</v>
      </c>
      <c r="AB101" s="25">
        <v>4</v>
      </c>
      <c r="AC101" s="25">
        <v>2.8</v>
      </c>
      <c r="AD101" s="25">
        <v>1</v>
      </c>
      <c r="AE101" s="29" t="s">
        <v>43</v>
      </c>
      <c r="AF101" s="25">
        <v>20</v>
      </c>
      <c r="AG101" s="25">
        <v>0</v>
      </c>
      <c r="AH101" s="25">
        <v>0</v>
      </c>
      <c r="AI101" s="25">
        <v>0</v>
      </c>
      <c r="AJ101" s="25">
        <v>0</v>
      </c>
      <c r="AK101" s="29">
        <v>8</v>
      </c>
      <c r="AL101">
        <v>30</v>
      </c>
      <c r="AM101" t="s">
        <v>293</v>
      </c>
      <c r="AN101" t="s">
        <v>67</v>
      </c>
    </row>
    <row r="102" spans="1:40">
      <c r="A102" s="4" t="s">
        <v>105</v>
      </c>
      <c r="B102">
        <v>1986</v>
      </c>
      <c r="C102">
        <v>38</v>
      </c>
      <c r="D102">
        <v>15</v>
      </c>
      <c r="E102">
        <v>3</v>
      </c>
      <c r="F102">
        <v>1</v>
      </c>
      <c r="G102">
        <v>0</v>
      </c>
      <c r="H102">
        <v>0</v>
      </c>
      <c r="I102" t="s">
        <v>278</v>
      </c>
      <c r="J102" t="s">
        <v>279</v>
      </c>
      <c r="K102" t="s">
        <v>294</v>
      </c>
      <c r="L102" t="s">
        <v>295</v>
      </c>
      <c r="M102" t="str">
        <f t="shared" si="2"/>
        <v>Hylotelephium</v>
      </c>
      <c r="N102" s="7" t="s">
        <v>296</v>
      </c>
      <c r="O102" t="s">
        <v>43</v>
      </c>
      <c r="P102" t="str">
        <f t="shared" si="3"/>
        <v>Low</v>
      </c>
      <c r="Q102">
        <v>-0.30000000000000004</v>
      </c>
      <c r="R102" s="25">
        <v>1000</v>
      </c>
      <c r="S102">
        <v>10</v>
      </c>
      <c r="T102" s="5" t="s">
        <v>110</v>
      </c>
      <c r="U102" s="1" t="s">
        <v>111</v>
      </c>
      <c r="V102" s="1" t="s">
        <v>47</v>
      </c>
      <c r="W102" s="25">
        <v>10</v>
      </c>
      <c r="X102" s="25">
        <v>0.5</v>
      </c>
      <c r="Y102" t="s">
        <v>48</v>
      </c>
      <c r="Z102" s="25">
        <v>100</v>
      </c>
      <c r="AA102" s="25">
        <v>5</v>
      </c>
      <c r="AB102" s="25">
        <v>0</v>
      </c>
      <c r="AC102" s="25">
        <v>5</v>
      </c>
      <c r="AD102" s="25">
        <v>0</v>
      </c>
      <c r="AE102" s="29">
        <v>0.66</v>
      </c>
      <c r="AF102" s="25">
        <v>10</v>
      </c>
      <c r="AG102" s="25">
        <v>0</v>
      </c>
      <c r="AH102" s="25">
        <v>0</v>
      </c>
      <c r="AI102" s="25">
        <v>0</v>
      </c>
      <c r="AJ102" s="25">
        <v>0</v>
      </c>
      <c r="AK102" s="29">
        <v>8</v>
      </c>
      <c r="AL102">
        <v>25</v>
      </c>
      <c r="AM102" t="s">
        <v>43</v>
      </c>
      <c r="AN102" t="s">
        <v>67</v>
      </c>
    </row>
    <row r="103" spans="1:40">
      <c r="A103" s="4" t="s">
        <v>172</v>
      </c>
      <c r="B103">
        <v>1985</v>
      </c>
      <c r="C103">
        <v>39</v>
      </c>
      <c r="D103">
        <v>2</v>
      </c>
      <c r="E103">
        <v>2</v>
      </c>
      <c r="F103">
        <v>6</v>
      </c>
      <c r="G103">
        <v>7</v>
      </c>
      <c r="H103">
        <v>0</v>
      </c>
      <c r="I103" t="s">
        <v>297</v>
      </c>
      <c r="J103" t="s">
        <v>298</v>
      </c>
      <c r="K103" t="s">
        <v>299</v>
      </c>
      <c r="L103" t="s">
        <v>300</v>
      </c>
      <c r="M103" t="str">
        <f t="shared" si="2"/>
        <v>Camissonia</v>
      </c>
      <c r="N103" s="7" t="s">
        <v>301</v>
      </c>
      <c r="O103" t="s">
        <v>43</v>
      </c>
      <c r="P103" t="str">
        <f t="shared" si="3"/>
        <v>Low</v>
      </c>
      <c r="Q103">
        <v>0</v>
      </c>
      <c r="R103" s="25">
        <v>1000</v>
      </c>
      <c r="S103">
        <v>0</v>
      </c>
      <c r="T103" s="5" t="s">
        <v>173</v>
      </c>
      <c r="U103" s="2" t="s">
        <v>88</v>
      </c>
      <c r="V103" s="1" t="s">
        <v>47</v>
      </c>
      <c r="W103" s="25">
        <v>10</v>
      </c>
      <c r="X103" s="25">
        <v>0.5</v>
      </c>
      <c r="Y103" t="s">
        <v>48</v>
      </c>
      <c r="Z103" s="25">
        <v>100</v>
      </c>
      <c r="AA103" s="25">
        <v>20</v>
      </c>
      <c r="AB103" s="25">
        <v>5</v>
      </c>
      <c r="AC103" s="25" t="s">
        <v>43</v>
      </c>
      <c r="AD103" s="25">
        <v>0.1</v>
      </c>
      <c r="AE103" s="29">
        <v>0.5</v>
      </c>
      <c r="AF103" s="25">
        <v>10</v>
      </c>
      <c r="AG103" s="25">
        <v>0</v>
      </c>
      <c r="AH103" s="25">
        <v>0</v>
      </c>
      <c r="AI103" s="25">
        <v>0</v>
      </c>
      <c r="AJ103" s="25">
        <v>0</v>
      </c>
      <c r="AK103" s="29">
        <v>7.8</v>
      </c>
      <c r="AL103">
        <v>25</v>
      </c>
      <c r="AM103" t="s">
        <v>43</v>
      </c>
      <c r="AN103" t="s">
        <v>67</v>
      </c>
    </row>
    <row r="104" spans="1:40">
      <c r="A104" s="4" t="s">
        <v>105</v>
      </c>
      <c r="B104">
        <v>1986</v>
      </c>
      <c r="C104">
        <v>42</v>
      </c>
      <c r="D104">
        <v>7</v>
      </c>
      <c r="E104">
        <v>8</v>
      </c>
      <c r="F104">
        <v>13</v>
      </c>
      <c r="G104">
        <v>3</v>
      </c>
      <c r="H104">
        <v>0</v>
      </c>
      <c r="I104" t="s">
        <v>302</v>
      </c>
      <c r="J104" t="s">
        <v>303</v>
      </c>
      <c r="K104" t="s">
        <v>304</v>
      </c>
      <c r="L104" t="s">
        <v>305</v>
      </c>
      <c r="M104" t="str">
        <f t="shared" si="2"/>
        <v>Cucurbita</v>
      </c>
      <c r="N104" s="7" t="s">
        <v>306</v>
      </c>
      <c r="O104" t="s">
        <v>43</v>
      </c>
      <c r="P104" t="str">
        <f t="shared" si="3"/>
        <v>Moderate</v>
      </c>
      <c r="Q104">
        <v>0.40666666666666662</v>
      </c>
      <c r="R104" s="25">
        <v>1000</v>
      </c>
      <c r="S104">
        <v>10</v>
      </c>
      <c r="T104" s="5" t="s">
        <v>110</v>
      </c>
      <c r="U104" s="1" t="s">
        <v>111</v>
      </c>
      <c r="V104" s="1" t="s">
        <v>47</v>
      </c>
      <c r="W104" s="25">
        <v>10</v>
      </c>
      <c r="X104" s="25">
        <v>0.5</v>
      </c>
      <c r="Y104" t="s">
        <v>48</v>
      </c>
      <c r="Z104" s="25">
        <v>100</v>
      </c>
      <c r="AA104" s="25">
        <v>5</v>
      </c>
      <c r="AB104" s="25">
        <v>0</v>
      </c>
      <c r="AC104" s="25">
        <v>5</v>
      </c>
      <c r="AD104" s="25">
        <v>0</v>
      </c>
      <c r="AE104" s="29">
        <v>0.66</v>
      </c>
      <c r="AF104" s="25">
        <v>10</v>
      </c>
      <c r="AG104" s="25">
        <v>0</v>
      </c>
      <c r="AH104" s="25">
        <v>0</v>
      </c>
      <c r="AI104" s="25">
        <v>0</v>
      </c>
      <c r="AJ104" s="25">
        <v>0</v>
      </c>
      <c r="AK104" s="29">
        <v>8</v>
      </c>
      <c r="AL104">
        <v>25</v>
      </c>
      <c r="AM104" t="s">
        <v>43</v>
      </c>
      <c r="AN104" t="s">
        <v>67</v>
      </c>
    </row>
    <row r="105" spans="1:40">
      <c r="A105" s="4" t="s">
        <v>172</v>
      </c>
      <c r="B105">
        <v>1985</v>
      </c>
      <c r="C105">
        <v>42</v>
      </c>
      <c r="D105">
        <v>7</v>
      </c>
      <c r="E105">
        <v>8</v>
      </c>
      <c r="F105">
        <v>15</v>
      </c>
      <c r="G105">
        <v>5</v>
      </c>
      <c r="H105">
        <v>0</v>
      </c>
      <c r="I105" t="s">
        <v>302</v>
      </c>
      <c r="J105" t="s">
        <v>303</v>
      </c>
      <c r="K105" t="s">
        <v>304</v>
      </c>
      <c r="L105" t="s">
        <v>307</v>
      </c>
      <c r="M105" t="str">
        <f t="shared" si="2"/>
        <v>Cucumis</v>
      </c>
      <c r="N105" s="7" t="s">
        <v>308</v>
      </c>
      <c r="O105" t="s">
        <v>43</v>
      </c>
      <c r="P105" t="str">
        <f t="shared" si="3"/>
        <v>High</v>
      </c>
      <c r="Q105">
        <v>0.73</v>
      </c>
      <c r="R105" s="25">
        <v>1000</v>
      </c>
      <c r="S105">
        <v>0</v>
      </c>
      <c r="T105" s="5" t="s">
        <v>173</v>
      </c>
      <c r="U105" s="2" t="s">
        <v>88</v>
      </c>
      <c r="V105" s="1" t="s">
        <v>47</v>
      </c>
      <c r="W105" s="25">
        <v>10</v>
      </c>
      <c r="X105" s="25">
        <v>0.5</v>
      </c>
      <c r="Y105" t="s">
        <v>48</v>
      </c>
      <c r="Z105" s="25">
        <v>100</v>
      </c>
      <c r="AA105" s="25">
        <v>20</v>
      </c>
      <c r="AB105" s="25">
        <v>5</v>
      </c>
      <c r="AC105" s="25" t="s">
        <v>43</v>
      </c>
      <c r="AD105" s="25">
        <v>0.1</v>
      </c>
      <c r="AE105" s="29">
        <v>0.5</v>
      </c>
      <c r="AF105" s="25">
        <v>10</v>
      </c>
      <c r="AG105" s="25">
        <v>0</v>
      </c>
      <c r="AH105" s="25">
        <v>0</v>
      </c>
      <c r="AI105" s="25">
        <v>0</v>
      </c>
      <c r="AJ105" s="25">
        <v>0</v>
      </c>
      <c r="AK105" s="29">
        <v>7.8</v>
      </c>
      <c r="AL105">
        <v>25</v>
      </c>
      <c r="AM105" t="s">
        <v>43</v>
      </c>
      <c r="AN105" t="s">
        <v>67</v>
      </c>
    </row>
    <row r="106" spans="1:40" ht="14.45">
      <c r="A106" s="4" t="s">
        <v>105</v>
      </c>
      <c r="B106">
        <v>1986</v>
      </c>
      <c r="C106">
        <v>42</v>
      </c>
      <c r="D106">
        <v>7</v>
      </c>
      <c r="E106">
        <v>8</v>
      </c>
      <c r="F106">
        <v>15</v>
      </c>
      <c r="G106">
        <v>5</v>
      </c>
      <c r="H106">
        <v>0</v>
      </c>
      <c r="I106" t="s">
        <v>302</v>
      </c>
      <c r="J106" t="s">
        <v>303</v>
      </c>
      <c r="K106" t="s">
        <v>304</v>
      </c>
      <c r="L106" t="s">
        <v>307</v>
      </c>
      <c r="M106" t="str">
        <f t="shared" si="2"/>
        <v>Cucumis</v>
      </c>
      <c r="N106" s="7" t="s">
        <v>308</v>
      </c>
      <c r="O106" t="s">
        <v>43</v>
      </c>
      <c r="P106" t="str">
        <f t="shared" si="3"/>
        <v>High</v>
      </c>
      <c r="Q106">
        <v>0.51</v>
      </c>
      <c r="R106" s="25">
        <v>1000</v>
      </c>
      <c r="S106">
        <v>10</v>
      </c>
      <c r="T106" s="5" t="s">
        <v>110</v>
      </c>
      <c r="U106" s="1" t="s">
        <v>111</v>
      </c>
      <c r="V106" s="1" t="s">
        <v>47</v>
      </c>
      <c r="W106" s="25">
        <v>10</v>
      </c>
      <c r="X106" s="25">
        <v>0.5</v>
      </c>
      <c r="Y106" t="s">
        <v>48</v>
      </c>
      <c r="Z106" s="25">
        <v>100</v>
      </c>
      <c r="AA106" s="25">
        <v>5</v>
      </c>
      <c r="AB106" s="25">
        <v>0</v>
      </c>
      <c r="AC106" s="25">
        <v>5</v>
      </c>
      <c r="AD106" s="25">
        <v>0</v>
      </c>
      <c r="AE106" s="29">
        <v>0.66</v>
      </c>
      <c r="AF106" s="25">
        <v>10</v>
      </c>
      <c r="AG106" s="25">
        <v>0</v>
      </c>
      <c r="AH106" s="25">
        <v>0</v>
      </c>
      <c r="AI106" s="25">
        <v>0</v>
      </c>
      <c r="AJ106" s="25">
        <v>0</v>
      </c>
      <c r="AK106" s="29">
        <v>8</v>
      </c>
      <c r="AL106">
        <v>25</v>
      </c>
      <c r="AM106" t="s">
        <v>43</v>
      </c>
      <c r="AN106" t="s">
        <v>67</v>
      </c>
    </row>
    <row r="107" spans="1:40">
      <c r="A107" s="4" t="s">
        <v>290</v>
      </c>
      <c r="B107">
        <v>2002</v>
      </c>
      <c r="C107">
        <v>42</v>
      </c>
      <c r="D107">
        <v>8</v>
      </c>
      <c r="E107">
        <v>0</v>
      </c>
      <c r="F107">
        <v>7</v>
      </c>
      <c r="G107">
        <v>1</v>
      </c>
      <c r="H107">
        <v>0</v>
      </c>
      <c r="I107" t="s">
        <v>309</v>
      </c>
      <c r="J107" t="s">
        <v>310</v>
      </c>
      <c r="K107" t="s">
        <v>43</v>
      </c>
      <c r="L107" t="s">
        <v>311</v>
      </c>
      <c r="M107" t="str">
        <f t="shared" si="2"/>
        <v>Ficus</v>
      </c>
      <c r="N107" s="7" t="s">
        <v>312</v>
      </c>
      <c r="O107" t="s">
        <v>313</v>
      </c>
      <c r="P107" t="str">
        <f t="shared" si="3"/>
        <v>High</v>
      </c>
      <c r="Q107">
        <f>1-(46.4/100)</f>
        <v>0.53600000000000003</v>
      </c>
      <c r="R107" s="25">
        <v>300</v>
      </c>
      <c r="S107">
        <v>0</v>
      </c>
      <c r="T107" s="5" t="s">
        <v>291</v>
      </c>
      <c r="U107" s="1" t="s">
        <v>314</v>
      </c>
      <c r="V107" s="1" t="s">
        <v>47</v>
      </c>
      <c r="W107" s="25" t="s">
        <v>43</v>
      </c>
      <c r="X107" s="25" t="s">
        <v>43</v>
      </c>
      <c r="Y107" t="s">
        <v>292</v>
      </c>
      <c r="Z107" s="25">
        <v>166</v>
      </c>
      <c r="AA107" s="25">
        <v>10</v>
      </c>
      <c r="AB107" s="25">
        <v>4</v>
      </c>
      <c r="AC107" s="25">
        <v>2.8</v>
      </c>
      <c r="AD107" s="25">
        <v>1</v>
      </c>
      <c r="AE107" s="29" t="s">
        <v>43</v>
      </c>
      <c r="AF107" s="25">
        <v>20</v>
      </c>
      <c r="AG107" s="25">
        <v>0</v>
      </c>
      <c r="AH107" s="25">
        <v>0</v>
      </c>
      <c r="AI107" s="25">
        <v>0</v>
      </c>
      <c r="AJ107" s="25">
        <v>0</v>
      </c>
      <c r="AK107" s="29">
        <v>8</v>
      </c>
      <c r="AL107">
        <v>30</v>
      </c>
      <c r="AM107" t="s">
        <v>293</v>
      </c>
      <c r="AN107" t="s">
        <v>67</v>
      </c>
    </row>
    <row r="108" spans="1:40">
      <c r="A108" s="4" t="s">
        <v>315</v>
      </c>
      <c r="B108">
        <v>1992</v>
      </c>
      <c r="C108">
        <v>43</v>
      </c>
      <c r="D108">
        <v>4</v>
      </c>
      <c r="E108">
        <v>1</v>
      </c>
      <c r="F108">
        <v>1</v>
      </c>
      <c r="G108">
        <v>1</v>
      </c>
      <c r="H108">
        <v>0</v>
      </c>
      <c r="I108" t="s">
        <v>316</v>
      </c>
      <c r="J108" t="s">
        <v>317</v>
      </c>
      <c r="K108" t="s">
        <v>318</v>
      </c>
      <c r="L108" t="s">
        <v>319</v>
      </c>
      <c r="M108" t="str">
        <f t="shared" si="2"/>
        <v>Bauhinia</v>
      </c>
      <c r="N108" s="7" t="s">
        <v>320</v>
      </c>
      <c r="O108" t="s">
        <v>43</v>
      </c>
      <c r="P108" t="str">
        <f t="shared" si="3"/>
        <v>Moderate</v>
      </c>
      <c r="Q108">
        <v>0.434</v>
      </c>
      <c r="R108" s="25">
        <v>330</v>
      </c>
      <c r="S108">
        <v>0</v>
      </c>
      <c r="T108" s="5" t="s">
        <v>321</v>
      </c>
      <c r="U108" s="1" t="s">
        <v>322</v>
      </c>
      <c r="V108" s="1" t="s">
        <v>47</v>
      </c>
      <c r="W108" s="25" t="s">
        <v>43</v>
      </c>
      <c r="X108" s="25">
        <v>0.5</v>
      </c>
      <c r="Y108" t="s">
        <v>76</v>
      </c>
      <c r="Z108" s="25">
        <v>50</v>
      </c>
      <c r="AA108" s="25">
        <v>5</v>
      </c>
      <c r="AB108" s="25">
        <v>5</v>
      </c>
      <c r="AC108" s="25">
        <v>0</v>
      </c>
      <c r="AD108" s="25">
        <v>0</v>
      </c>
      <c r="AE108" s="29">
        <v>0.2</v>
      </c>
      <c r="AF108" s="25">
        <v>20</v>
      </c>
      <c r="AG108" s="25">
        <v>0</v>
      </c>
      <c r="AH108" s="25">
        <v>0</v>
      </c>
      <c r="AI108" s="25">
        <v>0</v>
      </c>
      <c r="AJ108" s="25">
        <v>0</v>
      </c>
      <c r="AK108" s="29">
        <v>8</v>
      </c>
      <c r="AL108">
        <v>25</v>
      </c>
      <c r="AM108" t="s">
        <v>323</v>
      </c>
      <c r="AN108" t="s">
        <v>67</v>
      </c>
    </row>
    <row r="109" spans="1:40">
      <c r="A109" s="4" t="s">
        <v>315</v>
      </c>
      <c r="B109">
        <v>1992</v>
      </c>
      <c r="C109">
        <v>43</v>
      </c>
      <c r="D109">
        <v>4</v>
      </c>
      <c r="E109">
        <v>5</v>
      </c>
      <c r="F109">
        <v>1</v>
      </c>
      <c r="G109">
        <v>1</v>
      </c>
      <c r="H109">
        <v>0</v>
      </c>
      <c r="I109" t="s">
        <v>316</v>
      </c>
      <c r="J109" t="s">
        <v>317</v>
      </c>
      <c r="K109" t="s">
        <v>324</v>
      </c>
      <c r="L109" t="s">
        <v>325</v>
      </c>
      <c r="M109" t="str">
        <f t="shared" si="2"/>
        <v>Cassia</v>
      </c>
      <c r="N109" s="7" t="s">
        <v>326</v>
      </c>
      <c r="O109" t="s">
        <v>43</v>
      </c>
      <c r="P109" t="str">
        <f t="shared" si="3"/>
        <v>Moderate</v>
      </c>
      <c r="Q109">
        <v>0.36199999999999999</v>
      </c>
      <c r="R109" s="25">
        <v>330</v>
      </c>
      <c r="S109">
        <v>0</v>
      </c>
      <c r="T109" s="5" t="s">
        <v>321</v>
      </c>
      <c r="U109" s="1" t="s">
        <v>322</v>
      </c>
      <c r="V109" s="1" t="s">
        <v>47</v>
      </c>
      <c r="W109" s="25" t="s">
        <v>43</v>
      </c>
      <c r="X109" s="25">
        <v>0.5</v>
      </c>
      <c r="Y109" t="s">
        <v>76</v>
      </c>
      <c r="Z109" s="25">
        <v>50</v>
      </c>
      <c r="AA109" s="25">
        <v>5</v>
      </c>
      <c r="AB109" s="25">
        <v>5</v>
      </c>
      <c r="AC109" s="25">
        <v>0</v>
      </c>
      <c r="AD109" s="25">
        <v>0</v>
      </c>
      <c r="AE109" s="29">
        <v>0.2</v>
      </c>
      <c r="AF109" s="25">
        <v>20</v>
      </c>
      <c r="AG109" s="25">
        <v>0</v>
      </c>
      <c r="AH109" s="25">
        <v>0</v>
      </c>
      <c r="AI109" s="25">
        <v>0</v>
      </c>
      <c r="AJ109" s="25">
        <v>0</v>
      </c>
      <c r="AK109" s="29">
        <v>8</v>
      </c>
      <c r="AL109">
        <v>25</v>
      </c>
      <c r="AM109" t="s">
        <v>323</v>
      </c>
      <c r="AN109" t="s">
        <v>67</v>
      </c>
    </row>
    <row r="110" spans="1:40">
      <c r="A110" s="4" t="s">
        <v>327</v>
      </c>
      <c r="B110">
        <v>2004</v>
      </c>
      <c r="C110">
        <v>43</v>
      </c>
      <c r="D110">
        <v>4</v>
      </c>
      <c r="E110">
        <v>5</v>
      </c>
      <c r="F110">
        <v>2</v>
      </c>
      <c r="G110">
        <v>8</v>
      </c>
      <c r="H110">
        <v>0</v>
      </c>
      <c r="I110" t="s">
        <v>316</v>
      </c>
      <c r="J110" t="s">
        <v>317</v>
      </c>
      <c r="K110" t="s">
        <v>324</v>
      </c>
      <c r="L110" t="s">
        <v>328</v>
      </c>
      <c r="M110" t="str">
        <f t="shared" si="2"/>
        <v>Neltuma</v>
      </c>
      <c r="N110" s="7" t="s">
        <v>329</v>
      </c>
      <c r="O110" t="s">
        <v>43</v>
      </c>
      <c r="P110" t="str">
        <f t="shared" si="3"/>
        <v>Very High</v>
      </c>
      <c r="Q110">
        <f>1-(0.0876/0.8091)</f>
        <v>0.89173155357804967</v>
      </c>
      <c r="R110" s="25">
        <v>1800</v>
      </c>
      <c r="S110">
        <v>0</v>
      </c>
      <c r="T110" s="5" t="s">
        <v>330</v>
      </c>
      <c r="U110" s="1" t="s">
        <v>111</v>
      </c>
      <c r="V110" s="1" t="s">
        <v>47</v>
      </c>
      <c r="W110" s="25">
        <v>10</v>
      </c>
      <c r="X110" s="25">
        <v>0.75</v>
      </c>
      <c r="Y110" t="s">
        <v>48</v>
      </c>
      <c r="Z110" s="25">
        <v>100</v>
      </c>
      <c r="AA110" s="25">
        <v>20</v>
      </c>
      <c r="AB110" s="25">
        <v>5</v>
      </c>
      <c r="AC110" s="25">
        <v>0</v>
      </c>
      <c r="AD110" s="25">
        <v>1</v>
      </c>
      <c r="AE110" s="29" t="s">
        <v>43</v>
      </c>
      <c r="AF110" s="25">
        <v>20</v>
      </c>
      <c r="AG110" s="25">
        <v>0</v>
      </c>
      <c r="AH110" s="25">
        <v>0</v>
      </c>
      <c r="AI110" s="25">
        <v>0</v>
      </c>
      <c r="AJ110" s="25">
        <v>0</v>
      </c>
      <c r="AK110" s="29">
        <v>7.8</v>
      </c>
      <c r="AL110">
        <v>25</v>
      </c>
      <c r="AM110" t="s">
        <v>43</v>
      </c>
      <c r="AN110" t="s">
        <v>67</v>
      </c>
    </row>
    <row r="111" spans="1:40">
      <c r="A111" s="4" t="s">
        <v>315</v>
      </c>
      <c r="B111">
        <v>1992</v>
      </c>
      <c r="C111">
        <v>43</v>
      </c>
      <c r="D111">
        <v>4</v>
      </c>
      <c r="E111">
        <v>5</v>
      </c>
      <c r="F111">
        <v>2</v>
      </c>
      <c r="G111">
        <v>9</v>
      </c>
      <c r="H111">
        <v>0</v>
      </c>
      <c r="I111" t="s">
        <v>316</v>
      </c>
      <c r="J111" t="s">
        <v>317</v>
      </c>
      <c r="K111" t="s">
        <v>324</v>
      </c>
      <c r="L111" t="s">
        <v>328</v>
      </c>
      <c r="M111" t="str">
        <f t="shared" si="2"/>
        <v>Mimosa</v>
      </c>
      <c r="N111" s="7" t="s">
        <v>331</v>
      </c>
      <c r="O111" t="s">
        <v>43</v>
      </c>
      <c r="P111" t="str">
        <f t="shared" si="3"/>
        <v>High</v>
      </c>
      <c r="Q111">
        <v>0.63</v>
      </c>
      <c r="R111" s="25">
        <v>330</v>
      </c>
      <c r="S111">
        <v>0</v>
      </c>
      <c r="T111" s="5" t="s">
        <v>321</v>
      </c>
      <c r="U111" s="1" t="s">
        <v>322</v>
      </c>
      <c r="V111" s="1" t="s">
        <v>47</v>
      </c>
      <c r="W111" s="25" t="s">
        <v>43</v>
      </c>
      <c r="X111" s="25">
        <v>0.5</v>
      </c>
      <c r="Y111" t="s">
        <v>76</v>
      </c>
      <c r="Z111" s="25">
        <v>50</v>
      </c>
      <c r="AA111" s="25">
        <v>5</v>
      </c>
      <c r="AB111" s="25">
        <v>5</v>
      </c>
      <c r="AC111" s="25">
        <v>0</v>
      </c>
      <c r="AD111" s="25">
        <v>0</v>
      </c>
      <c r="AE111" s="29">
        <v>0.2</v>
      </c>
      <c r="AF111" s="25">
        <v>20</v>
      </c>
      <c r="AG111" s="25">
        <v>0</v>
      </c>
      <c r="AH111" s="25">
        <v>0</v>
      </c>
      <c r="AI111" s="25">
        <v>0</v>
      </c>
      <c r="AJ111" s="25">
        <v>0</v>
      </c>
      <c r="AK111" s="29">
        <v>8</v>
      </c>
      <c r="AL111">
        <v>25</v>
      </c>
      <c r="AM111" t="s">
        <v>323</v>
      </c>
      <c r="AN111" t="s">
        <v>67</v>
      </c>
    </row>
    <row r="112" spans="1:40">
      <c r="A112" s="4" t="s">
        <v>315</v>
      </c>
      <c r="B112">
        <v>1992</v>
      </c>
      <c r="C112">
        <v>43</v>
      </c>
      <c r="D112">
        <v>4</v>
      </c>
      <c r="E112">
        <v>5</v>
      </c>
      <c r="F112">
        <v>2</v>
      </c>
      <c r="G112">
        <v>16</v>
      </c>
      <c r="H112">
        <v>0</v>
      </c>
      <c r="I112" t="s">
        <v>316</v>
      </c>
      <c r="J112" t="s">
        <v>317</v>
      </c>
      <c r="K112" t="s">
        <v>324</v>
      </c>
      <c r="L112" t="s">
        <v>328</v>
      </c>
      <c r="M112" t="str">
        <f t="shared" si="2"/>
        <v>Desmanthus</v>
      </c>
      <c r="N112" s="7" t="s">
        <v>332</v>
      </c>
      <c r="O112" t="s">
        <v>43</v>
      </c>
      <c r="P112" t="str">
        <f t="shared" si="3"/>
        <v>Moderate</v>
      </c>
      <c r="Q112">
        <v>0.373</v>
      </c>
      <c r="R112" s="25">
        <v>330</v>
      </c>
      <c r="S112">
        <v>0</v>
      </c>
      <c r="T112" s="5" t="s">
        <v>321</v>
      </c>
      <c r="U112" s="1" t="s">
        <v>322</v>
      </c>
      <c r="V112" s="1" t="s">
        <v>47</v>
      </c>
      <c r="W112" s="25" t="s">
        <v>43</v>
      </c>
      <c r="X112" s="25">
        <v>0.5</v>
      </c>
      <c r="Y112" t="s">
        <v>76</v>
      </c>
      <c r="Z112" s="25">
        <v>50</v>
      </c>
      <c r="AA112" s="25">
        <v>5</v>
      </c>
      <c r="AB112" s="25">
        <v>5</v>
      </c>
      <c r="AC112" s="25">
        <v>0</v>
      </c>
      <c r="AD112" s="25">
        <v>0</v>
      </c>
      <c r="AE112" s="29">
        <v>0.2</v>
      </c>
      <c r="AF112" s="25">
        <v>20</v>
      </c>
      <c r="AG112" s="25">
        <v>0</v>
      </c>
      <c r="AH112" s="25">
        <v>0</v>
      </c>
      <c r="AI112" s="25">
        <v>0</v>
      </c>
      <c r="AJ112" s="25">
        <v>0</v>
      </c>
      <c r="AK112" s="29">
        <v>8</v>
      </c>
      <c r="AL112">
        <v>25</v>
      </c>
      <c r="AM112" t="s">
        <v>323</v>
      </c>
      <c r="AN112" t="s">
        <v>67</v>
      </c>
    </row>
    <row r="113" spans="1:40">
      <c r="A113" s="4" t="s">
        <v>315</v>
      </c>
      <c r="B113">
        <v>1992</v>
      </c>
      <c r="C113">
        <v>43</v>
      </c>
      <c r="D113">
        <v>4</v>
      </c>
      <c r="E113">
        <v>5</v>
      </c>
      <c r="F113">
        <v>2</v>
      </c>
      <c r="G113">
        <v>16</v>
      </c>
      <c r="H113">
        <v>0</v>
      </c>
      <c r="I113" t="s">
        <v>316</v>
      </c>
      <c r="J113" t="s">
        <v>317</v>
      </c>
      <c r="K113" t="s">
        <v>324</v>
      </c>
      <c r="L113" t="s">
        <v>328</v>
      </c>
      <c r="M113" t="str">
        <f t="shared" si="2"/>
        <v>Desmanthus</v>
      </c>
      <c r="N113" s="7" t="s">
        <v>333</v>
      </c>
      <c r="O113" t="s">
        <v>43</v>
      </c>
      <c r="P113" t="str">
        <f t="shared" si="3"/>
        <v>Low</v>
      </c>
      <c r="Q113">
        <v>0.152</v>
      </c>
      <c r="R113" s="25">
        <v>330</v>
      </c>
      <c r="S113">
        <v>0</v>
      </c>
      <c r="T113" s="5" t="s">
        <v>321</v>
      </c>
      <c r="U113" s="1" t="s">
        <v>322</v>
      </c>
      <c r="V113" s="1" t="s">
        <v>47</v>
      </c>
      <c r="W113" s="25" t="s">
        <v>43</v>
      </c>
      <c r="X113" s="25">
        <v>0.5</v>
      </c>
      <c r="Y113" t="s">
        <v>76</v>
      </c>
      <c r="Z113" s="25">
        <v>50</v>
      </c>
      <c r="AA113" s="25">
        <v>5</v>
      </c>
      <c r="AB113" s="25">
        <v>5</v>
      </c>
      <c r="AC113" s="25">
        <v>0</v>
      </c>
      <c r="AD113" s="25">
        <v>0</v>
      </c>
      <c r="AE113" s="29">
        <v>0.2</v>
      </c>
      <c r="AF113" s="25">
        <v>20</v>
      </c>
      <c r="AG113" s="25">
        <v>0</v>
      </c>
      <c r="AH113" s="25">
        <v>0</v>
      </c>
      <c r="AI113" s="25">
        <v>0</v>
      </c>
      <c r="AJ113" s="25">
        <v>0</v>
      </c>
      <c r="AK113" s="29">
        <v>8</v>
      </c>
      <c r="AL113">
        <v>25</v>
      </c>
      <c r="AM113" t="s">
        <v>323</v>
      </c>
      <c r="AN113" t="s">
        <v>67</v>
      </c>
    </row>
    <row r="114" spans="1:40">
      <c r="A114" s="4" t="s">
        <v>315</v>
      </c>
      <c r="B114">
        <v>1992</v>
      </c>
      <c r="C114">
        <v>43</v>
      </c>
      <c r="D114">
        <v>4</v>
      </c>
      <c r="E114">
        <v>6</v>
      </c>
      <c r="F114">
        <v>8</v>
      </c>
      <c r="G114">
        <v>1</v>
      </c>
      <c r="H114">
        <v>0</v>
      </c>
      <c r="I114" t="s">
        <v>316</v>
      </c>
      <c r="J114" t="s">
        <v>317</v>
      </c>
      <c r="K114" t="s">
        <v>334</v>
      </c>
      <c r="L114" t="s">
        <v>335</v>
      </c>
      <c r="M114" t="str">
        <f t="shared" si="2"/>
        <v>Amorpha</v>
      </c>
      <c r="N114" s="7" t="s">
        <v>336</v>
      </c>
      <c r="O114" t="s">
        <v>43</v>
      </c>
      <c r="P114" t="str">
        <f t="shared" si="3"/>
        <v>Moderate</v>
      </c>
      <c r="Q114">
        <v>0.28299999999999997</v>
      </c>
      <c r="R114" s="25">
        <v>330</v>
      </c>
      <c r="S114">
        <v>0</v>
      </c>
      <c r="T114" s="5" t="s">
        <v>321</v>
      </c>
      <c r="U114" s="1" t="s">
        <v>322</v>
      </c>
      <c r="V114" s="1" t="s">
        <v>47</v>
      </c>
      <c r="W114" s="25" t="s">
        <v>43</v>
      </c>
      <c r="X114" s="25">
        <v>0.5</v>
      </c>
      <c r="Y114" t="s">
        <v>76</v>
      </c>
      <c r="Z114" s="25">
        <v>50</v>
      </c>
      <c r="AA114" s="25">
        <v>5</v>
      </c>
      <c r="AB114" s="25">
        <v>5</v>
      </c>
      <c r="AC114" s="25">
        <v>0</v>
      </c>
      <c r="AD114" s="25">
        <v>0</v>
      </c>
      <c r="AE114" s="29">
        <v>0.2</v>
      </c>
      <c r="AF114" s="25">
        <v>20</v>
      </c>
      <c r="AG114" s="25">
        <v>0</v>
      </c>
      <c r="AH114" s="25">
        <v>0</v>
      </c>
      <c r="AI114" s="25">
        <v>0</v>
      </c>
      <c r="AJ114" s="25">
        <v>0</v>
      </c>
      <c r="AK114" s="29">
        <v>8</v>
      </c>
      <c r="AL114">
        <v>25</v>
      </c>
      <c r="AM114" t="s">
        <v>323</v>
      </c>
      <c r="AN114" t="s">
        <v>67</v>
      </c>
    </row>
    <row r="115" spans="1:40">
      <c r="A115" s="4" t="s">
        <v>315</v>
      </c>
      <c r="B115">
        <v>1992</v>
      </c>
      <c r="C115">
        <v>43</v>
      </c>
      <c r="D115">
        <v>4</v>
      </c>
      <c r="E115">
        <v>6</v>
      </c>
      <c r="F115">
        <v>8</v>
      </c>
      <c r="G115">
        <v>1</v>
      </c>
      <c r="H115">
        <v>0</v>
      </c>
      <c r="I115" t="s">
        <v>316</v>
      </c>
      <c r="J115" t="s">
        <v>317</v>
      </c>
      <c r="K115" t="s">
        <v>334</v>
      </c>
      <c r="L115" t="s">
        <v>335</v>
      </c>
      <c r="M115" t="str">
        <f t="shared" si="2"/>
        <v>Amorpha</v>
      </c>
      <c r="N115" s="7" t="s">
        <v>336</v>
      </c>
      <c r="O115" t="s">
        <v>43</v>
      </c>
      <c r="P115" t="str">
        <f t="shared" si="3"/>
        <v>High</v>
      </c>
      <c r="Q115">
        <v>0.49299999999999999</v>
      </c>
      <c r="R115" s="25">
        <v>330</v>
      </c>
      <c r="S115">
        <v>0</v>
      </c>
      <c r="T115" s="5" t="s">
        <v>321</v>
      </c>
      <c r="U115" s="1" t="s">
        <v>322</v>
      </c>
      <c r="V115" s="1" t="s">
        <v>47</v>
      </c>
      <c r="W115" s="25" t="s">
        <v>43</v>
      </c>
      <c r="X115" s="25">
        <v>0.5</v>
      </c>
      <c r="Y115" t="s">
        <v>76</v>
      </c>
      <c r="Z115" s="25">
        <v>50</v>
      </c>
      <c r="AA115" s="25">
        <v>5</v>
      </c>
      <c r="AB115" s="25">
        <v>5</v>
      </c>
      <c r="AC115" s="25">
        <v>0</v>
      </c>
      <c r="AD115" s="25">
        <v>0</v>
      </c>
      <c r="AE115" s="29">
        <v>0.2</v>
      </c>
      <c r="AF115" s="25">
        <v>20</v>
      </c>
      <c r="AG115" s="25">
        <v>0</v>
      </c>
      <c r="AH115" s="25">
        <v>0</v>
      </c>
      <c r="AI115" s="25">
        <v>0</v>
      </c>
      <c r="AJ115" s="25">
        <v>0</v>
      </c>
      <c r="AK115" s="29">
        <v>8</v>
      </c>
      <c r="AL115">
        <v>25</v>
      </c>
      <c r="AM115" t="s">
        <v>323</v>
      </c>
      <c r="AN115" t="s">
        <v>67</v>
      </c>
    </row>
    <row r="116" spans="1:40">
      <c r="A116" s="4" t="s">
        <v>315</v>
      </c>
      <c r="B116">
        <v>1992</v>
      </c>
      <c r="C116">
        <v>43</v>
      </c>
      <c r="D116">
        <v>4</v>
      </c>
      <c r="E116">
        <v>6</v>
      </c>
      <c r="F116">
        <v>8</v>
      </c>
      <c r="G116">
        <v>3</v>
      </c>
      <c r="H116">
        <v>0</v>
      </c>
      <c r="I116" t="s">
        <v>316</v>
      </c>
      <c r="J116" t="s">
        <v>317</v>
      </c>
      <c r="K116" t="s">
        <v>334</v>
      </c>
      <c r="L116" t="s">
        <v>335</v>
      </c>
      <c r="M116" t="str">
        <f t="shared" si="2"/>
        <v>Dalea</v>
      </c>
      <c r="N116" s="7" t="s">
        <v>337</v>
      </c>
      <c r="O116" t="s">
        <v>43</v>
      </c>
      <c r="P116" t="str">
        <f t="shared" si="3"/>
        <v>Moderate</v>
      </c>
      <c r="Q116">
        <v>0.44</v>
      </c>
      <c r="R116" s="25">
        <v>330</v>
      </c>
      <c r="S116">
        <v>0</v>
      </c>
      <c r="T116" s="5" t="s">
        <v>321</v>
      </c>
      <c r="U116" s="1" t="s">
        <v>322</v>
      </c>
      <c r="V116" s="1" t="s">
        <v>47</v>
      </c>
      <c r="W116" s="25" t="s">
        <v>43</v>
      </c>
      <c r="X116" s="25">
        <v>0.5</v>
      </c>
      <c r="Y116" t="s">
        <v>76</v>
      </c>
      <c r="Z116" s="25">
        <v>50</v>
      </c>
      <c r="AA116" s="25">
        <v>5</v>
      </c>
      <c r="AB116" s="25">
        <v>5</v>
      </c>
      <c r="AC116" s="25">
        <v>0</v>
      </c>
      <c r="AD116" s="25">
        <v>0</v>
      </c>
      <c r="AE116" s="29">
        <v>0.2</v>
      </c>
      <c r="AF116" s="25">
        <v>20</v>
      </c>
      <c r="AG116" s="25">
        <v>0</v>
      </c>
      <c r="AH116" s="25">
        <v>0</v>
      </c>
      <c r="AI116" s="25">
        <v>0</v>
      </c>
      <c r="AJ116" s="25">
        <v>0</v>
      </c>
      <c r="AK116" s="29">
        <v>8</v>
      </c>
      <c r="AL116">
        <v>25</v>
      </c>
      <c r="AM116" t="s">
        <v>323</v>
      </c>
      <c r="AN116" t="s">
        <v>67</v>
      </c>
    </row>
    <row r="117" spans="1:40">
      <c r="A117" s="4" t="s">
        <v>315</v>
      </c>
      <c r="B117">
        <v>1992</v>
      </c>
      <c r="C117">
        <v>43</v>
      </c>
      <c r="D117">
        <v>4</v>
      </c>
      <c r="E117">
        <v>6</v>
      </c>
      <c r="F117">
        <v>8</v>
      </c>
      <c r="G117">
        <v>3</v>
      </c>
      <c r="H117">
        <v>0</v>
      </c>
      <c r="I117" t="s">
        <v>316</v>
      </c>
      <c r="J117" t="s">
        <v>317</v>
      </c>
      <c r="K117" t="s">
        <v>334</v>
      </c>
      <c r="L117" t="s">
        <v>335</v>
      </c>
      <c r="M117" t="str">
        <f t="shared" si="2"/>
        <v>Dalea</v>
      </c>
      <c r="N117" s="7" t="s">
        <v>337</v>
      </c>
      <c r="O117" t="s">
        <v>43</v>
      </c>
      <c r="P117" t="str">
        <f t="shared" si="3"/>
        <v>Moderate</v>
      </c>
      <c r="Q117">
        <v>0.46600000000000003</v>
      </c>
      <c r="R117" s="25">
        <v>330</v>
      </c>
      <c r="S117">
        <v>0</v>
      </c>
      <c r="T117" s="5" t="s">
        <v>321</v>
      </c>
      <c r="U117" s="1" t="s">
        <v>322</v>
      </c>
      <c r="V117" s="1" t="s">
        <v>47</v>
      </c>
      <c r="W117" s="25" t="s">
        <v>43</v>
      </c>
      <c r="X117" s="25">
        <v>0.5</v>
      </c>
      <c r="Y117" t="s">
        <v>76</v>
      </c>
      <c r="Z117" s="25">
        <v>50</v>
      </c>
      <c r="AA117" s="25">
        <v>5</v>
      </c>
      <c r="AB117" s="25">
        <v>5</v>
      </c>
      <c r="AC117" s="25">
        <v>0</v>
      </c>
      <c r="AD117" s="25">
        <v>0</v>
      </c>
      <c r="AE117" s="29">
        <v>0.2</v>
      </c>
      <c r="AF117" s="25">
        <v>20</v>
      </c>
      <c r="AG117" s="25">
        <v>0</v>
      </c>
      <c r="AH117" s="25">
        <v>0</v>
      </c>
      <c r="AI117" s="25">
        <v>0</v>
      </c>
      <c r="AJ117" s="25">
        <v>0</v>
      </c>
      <c r="AK117" s="29">
        <v>8</v>
      </c>
      <c r="AL117">
        <v>25</v>
      </c>
      <c r="AM117" t="s">
        <v>323</v>
      </c>
      <c r="AN117" t="s">
        <v>67</v>
      </c>
    </row>
    <row r="118" spans="1:40">
      <c r="A118" s="4" t="s">
        <v>315</v>
      </c>
      <c r="B118">
        <v>1992</v>
      </c>
      <c r="C118">
        <v>43</v>
      </c>
      <c r="D118">
        <v>4</v>
      </c>
      <c r="E118">
        <v>6</v>
      </c>
      <c r="F118">
        <v>9</v>
      </c>
      <c r="G118">
        <v>2</v>
      </c>
      <c r="H118">
        <v>0</v>
      </c>
      <c r="I118" t="s">
        <v>316</v>
      </c>
      <c r="J118" t="s">
        <v>317</v>
      </c>
      <c r="K118" t="s">
        <v>334</v>
      </c>
      <c r="L118" t="s">
        <v>338</v>
      </c>
      <c r="M118" t="str">
        <f t="shared" si="2"/>
        <v>Adesmia</v>
      </c>
      <c r="N118" s="7" t="s">
        <v>339</v>
      </c>
      <c r="O118" t="s">
        <v>43</v>
      </c>
      <c r="P118" t="str">
        <f t="shared" si="3"/>
        <v>High</v>
      </c>
      <c r="Q118">
        <v>0.59799999999999998</v>
      </c>
      <c r="R118" s="25">
        <v>330</v>
      </c>
      <c r="S118">
        <v>0</v>
      </c>
      <c r="T118" s="5" t="s">
        <v>321</v>
      </c>
      <c r="U118" s="1" t="s">
        <v>322</v>
      </c>
      <c r="V118" s="1" t="s">
        <v>47</v>
      </c>
      <c r="W118" s="25" t="s">
        <v>43</v>
      </c>
      <c r="X118" s="25">
        <v>0.5</v>
      </c>
      <c r="Y118" t="s">
        <v>76</v>
      </c>
      <c r="Z118" s="25">
        <v>50</v>
      </c>
      <c r="AA118" s="25">
        <v>5</v>
      </c>
      <c r="AB118" s="25">
        <v>5</v>
      </c>
      <c r="AC118" s="25">
        <v>0</v>
      </c>
      <c r="AD118" s="25">
        <v>0</v>
      </c>
      <c r="AE118" s="29">
        <v>0.2</v>
      </c>
      <c r="AF118" s="25">
        <v>20</v>
      </c>
      <c r="AG118" s="25">
        <v>0</v>
      </c>
      <c r="AH118" s="25">
        <v>0</v>
      </c>
      <c r="AI118" s="25">
        <v>0</v>
      </c>
      <c r="AJ118" s="25">
        <v>0</v>
      </c>
      <c r="AK118" s="29">
        <v>8</v>
      </c>
      <c r="AL118">
        <v>25</v>
      </c>
      <c r="AM118" t="s">
        <v>323</v>
      </c>
      <c r="AN118" t="s">
        <v>67</v>
      </c>
    </row>
    <row r="119" spans="1:40">
      <c r="A119" s="4" t="s">
        <v>315</v>
      </c>
      <c r="B119">
        <v>1992</v>
      </c>
      <c r="C119">
        <v>43</v>
      </c>
      <c r="D119">
        <v>4</v>
      </c>
      <c r="E119">
        <v>6</v>
      </c>
      <c r="F119">
        <v>9</v>
      </c>
      <c r="G119">
        <v>2</v>
      </c>
      <c r="H119">
        <v>0</v>
      </c>
      <c r="I119" t="s">
        <v>316</v>
      </c>
      <c r="J119" t="s">
        <v>317</v>
      </c>
      <c r="K119" t="s">
        <v>334</v>
      </c>
      <c r="L119" t="s">
        <v>338</v>
      </c>
      <c r="M119" t="str">
        <f t="shared" si="2"/>
        <v>Adesmia</v>
      </c>
      <c r="N119" s="7" t="s">
        <v>340</v>
      </c>
      <c r="O119" t="s">
        <v>43</v>
      </c>
      <c r="P119" t="str">
        <f t="shared" si="3"/>
        <v>High</v>
      </c>
      <c r="Q119">
        <v>0.56299999999999994</v>
      </c>
      <c r="R119" s="25">
        <v>330</v>
      </c>
      <c r="S119">
        <v>0</v>
      </c>
      <c r="T119" s="5" t="s">
        <v>321</v>
      </c>
      <c r="U119" s="1" t="s">
        <v>322</v>
      </c>
      <c r="V119" s="1" t="s">
        <v>47</v>
      </c>
      <c r="W119" s="25" t="s">
        <v>43</v>
      </c>
      <c r="X119" s="25">
        <v>0.5</v>
      </c>
      <c r="Y119" t="s">
        <v>76</v>
      </c>
      <c r="Z119" s="25">
        <v>50</v>
      </c>
      <c r="AA119" s="25">
        <v>5</v>
      </c>
      <c r="AB119" s="25">
        <v>5</v>
      </c>
      <c r="AC119" s="25">
        <v>0</v>
      </c>
      <c r="AD119" s="25">
        <v>0</v>
      </c>
      <c r="AE119" s="29">
        <v>0.2</v>
      </c>
      <c r="AF119" s="25">
        <v>20</v>
      </c>
      <c r="AG119" s="25">
        <v>0</v>
      </c>
      <c r="AH119" s="25">
        <v>0</v>
      </c>
      <c r="AI119" s="25">
        <v>0</v>
      </c>
      <c r="AJ119" s="25">
        <v>0</v>
      </c>
      <c r="AK119" s="29">
        <v>8</v>
      </c>
      <c r="AL119">
        <v>25</v>
      </c>
      <c r="AM119" t="s">
        <v>323</v>
      </c>
      <c r="AN119" t="s">
        <v>67</v>
      </c>
    </row>
    <row r="120" spans="1:40">
      <c r="A120" s="4" t="s">
        <v>315</v>
      </c>
      <c r="B120">
        <v>1992</v>
      </c>
      <c r="C120">
        <v>43</v>
      </c>
      <c r="D120">
        <v>4</v>
      </c>
      <c r="E120">
        <v>6</v>
      </c>
      <c r="F120">
        <v>9</v>
      </c>
      <c r="G120">
        <v>4</v>
      </c>
      <c r="H120">
        <v>0</v>
      </c>
      <c r="I120" t="s">
        <v>316</v>
      </c>
      <c r="J120" t="s">
        <v>317</v>
      </c>
      <c r="K120" t="s">
        <v>334</v>
      </c>
      <c r="L120" t="s">
        <v>338</v>
      </c>
      <c r="M120" t="str">
        <f t="shared" si="2"/>
        <v>Zornia</v>
      </c>
      <c r="N120" s="7" t="s">
        <v>341</v>
      </c>
      <c r="O120" t="s">
        <v>43</v>
      </c>
      <c r="P120" t="str">
        <f t="shared" si="3"/>
        <v>High</v>
      </c>
      <c r="Q120">
        <v>0.53700000000000003</v>
      </c>
      <c r="R120" s="25">
        <v>330</v>
      </c>
      <c r="S120">
        <v>0</v>
      </c>
      <c r="T120" s="5" t="s">
        <v>321</v>
      </c>
      <c r="U120" s="1" t="s">
        <v>322</v>
      </c>
      <c r="V120" s="1" t="s">
        <v>47</v>
      </c>
      <c r="W120" s="25" t="s">
        <v>43</v>
      </c>
      <c r="X120" s="25">
        <v>0.5</v>
      </c>
      <c r="Y120" t="s">
        <v>76</v>
      </c>
      <c r="Z120" s="25">
        <v>50</v>
      </c>
      <c r="AA120" s="25">
        <v>5</v>
      </c>
      <c r="AB120" s="25">
        <v>5</v>
      </c>
      <c r="AC120" s="25">
        <v>0</v>
      </c>
      <c r="AD120" s="25">
        <v>0</v>
      </c>
      <c r="AE120" s="29">
        <v>0.2</v>
      </c>
      <c r="AF120" s="25">
        <v>20</v>
      </c>
      <c r="AG120" s="25">
        <v>0</v>
      </c>
      <c r="AH120" s="25">
        <v>0</v>
      </c>
      <c r="AI120" s="25">
        <v>0</v>
      </c>
      <c r="AJ120" s="25">
        <v>0</v>
      </c>
      <c r="AK120" s="29">
        <v>8</v>
      </c>
      <c r="AL120">
        <v>25</v>
      </c>
      <c r="AM120" t="s">
        <v>323</v>
      </c>
      <c r="AN120" t="s">
        <v>67</v>
      </c>
    </row>
    <row r="121" spans="1:40">
      <c r="A121" s="4" t="s">
        <v>315</v>
      </c>
      <c r="B121">
        <v>1992</v>
      </c>
      <c r="C121">
        <v>43</v>
      </c>
      <c r="D121">
        <v>4</v>
      </c>
      <c r="E121">
        <v>6</v>
      </c>
      <c r="F121">
        <v>9</v>
      </c>
      <c r="G121">
        <v>12</v>
      </c>
      <c r="H121">
        <v>0</v>
      </c>
      <c r="I121" t="s">
        <v>316</v>
      </c>
      <c r="J121" t="s">
        <v>317</v>
      </c>
      <c r="K121" t="s">
        <v>334</v>
      </c>
      <c r="L121" t="s">
        <v>338</v>
      </c>
      <c r="M121" t="str">
        <f t="shared" si="2"/>
        <v>Aeschynomene</v>
      </c>
      <c r="N121" s="7" t="s">
        <v>342</v>
      </c>
      <c r="O121" t="s">
        <v>43</v>
      </c>
      <c r="P121" t="str">
        <f t="shared" si="3"/>
        <v>High</v>
      </c>
      <c r="Q121">
        <v>0.504</v>
      </c>
      <c r="R121" s="25">
        <v>330</v>
      </c>
      <c r="S121">
        <v>0</v>
      </c>
      <c r="T121" s="5" t="s">
        <v>321</v>
      </c>
      <c r="U121" s="1" t="s">
        <v>322</v>
      </c>
      <c r="V121" s="1" t="s">
        <v>47</v>
      </c>
      <c r="W121" s="25" t="s">
        <v>43</v>
      </c>
      <c r="X121" s="25">
        <v>0.5</v>
      </c>
      <c r="Y121" t="s">
        <v>76</v>
      </c>
      <c r="Z121" s="25">
        <v>50</v>
      </c>
      <c r="AA121" s="25">
        <v>5</v>
      </c>
      <c r="AB121" s="25">
        <v>5</v>
      </c>
      <c r="AC121" s="25">
        <v>0</v>
      </c>
      <c r="AD121" s="25">
        <v>0</v>
      </c>
      <c r="AE121" s="29">
        <v>0.2</v>
      </c>
      <c r="AF121" s="25">
        <v>20</v>
      </c>
      <c r="AG121" s="25">
        <v>0</v>
      </c>
      <c r="AH121" s="25">
        <v>0</v>
      </c>
      <c r="AI121" s="25">
        <v>0</v>
      </c>
      <c r="AJ121" s="25">
        <v>0</v>
      </c>
      <c r="AK121" s="29">
        <v>8</v>
      </c>
      <c r="AL121">
        <v>25</v>
      </c>
      <c r="AM121" t="s">
        <v>323</v>
      </c>
      <c r="AN121" t="s">
        <v>67</v>
      </c>
    </row>
    <row r="122" spans="1:40">
      <c r="A122" s="4" t="s">
        <v>315</v>
      </c>
      <c r="B122">
        <v>1992</v>
      </c>
      <c r="C122">
        <v>43</v>
      </c>
      <c r="D122">
        <v>4</v>
      </c>
      <c r="E122">
        <v>6</v>
      </c>
      <c r="F122">
        <v>9</v>
      </c>
      <c r="G122">
        <v>26</v>
      </c>
      <c r="H122">
        <v>0</v>
      </c>
      <c r="I122" t="s">
        <v>316</v>
      </c>
      <c r="J122" t="s">
        <v>317</v>
      </c>
      <c r="K122" t="s">
        <v>334</v>
      </c>
      <c r="L122" t="s">
        <v>338</v>
      </c>
      <c r="M122" t="str">
        <f t="shared" si="2"/>
        <v>Arachis</v>
      </c>
      <c r="N122" s="7" t="s">
        <v>343</v>
      </c>
      <c r="O122" t="s">
        <v>43</v>
      </c>
      <c r="P122" t="str">
        <f t="shared" si="3"/>
        <v>Moderate</v>
      </c>
      <c r="Q122">
        <v>0.22900000000000001</v>
      </c>
      <c r="R122" s="25">
        <v>330</v>
      </c>
      <c r="S122">
        <v>0</v>
      </c>
      <c r="T122" s="5" t="s">
        <v>321</v>
      </c>
      <c r="U122" s="1" t="s">
        <v>322</v>
      </c>
      <c r="V122" s="1" t="s">
        <v>47</v>
      </c>
      <c r="W122" s="25" t="s">
        <v>43</v>
      </c>
      <c r="X122" s="25">
        <v>0.5</v>
      </c>
      <c r="Y122" t="s">
        <v>76</v>
      </c>
      <c r="Z122" s="25">
        <v>50</v>
      </c>
      <c r="AA122" s="25">
        <v>5</v>
      </c>
      <c r="AB122" s="25">
        <v>5</v>
      </c>
      <c r="AC122" s="25">
        <v>0</v>
      </c>
      <c r="AD122" s="25">
        <v>0</v>
      </c>
      <c r="AE122" s="29">
        <v>0.2</v>
      </c>
      <c r="AF122" s="25">
        <v>20</v>
      </c>
      <c r="AG122" s="25">
        <v>0</v>
      </c>
      <c r="AH122" s="25">
        <v>0</v>
      </c>
      <c r="AI122" s="25">
        <v>0</v>
      </c>
      <c r="AJ122" s="25">
        <v>0</v>
      </c>
      <c r="AK122" s="29">
        <v>8</v>
      </c>
      <c r="AL122">
        <v>25</v>
      </c>
      <c r="AM122" t="s">
        <v>323</v>
      </c>
      <c r="AN122" t="s">
        <v>67</v>
      </c>
    </row>
    <row r="123" spans="1:40">
      <c r="A123" s="4" t="s">
        <v>315</v>
      </c>
      <c r="B123">
        <v>1992</v>
      </c>
      <c r="C123">
        <v>43</v>
      </c>
      <c r="D123">
        <v>4</v>
      </c>
      <c r="E123">
        <v>6</v>
      </c>
      <c r="F123">
        <v>9</v>
      </c>
      <c r="G123">
        <v>27</v>
      </c>
      <c r="H123">
        <v>0</v>
      </c>
      <c r="I123" t="s">
        <v>316</v>
      </c>
      <c r="J123" t="s">
        <v>317</v>
      </c>
      <c r="K123" t="s">
        <v>334</v>
      </c>
      <c r="L123" t="s">
        <v>338</v>
      </c>
      <c r="M123" t="str">
        <f t="shared" si="2"/>
        <v>Stylosanthes</v>
      </c>
      <c r="N123" s="7" t="s">
        <v>344</v>
      </c>
      <c r="O123" t="s">
        <v>43</v>
      </c>
      <c r="P123" t="str">
        <f t="shared" si="3"/>
        <v>High</v>
      </c>
      <c r="Q123">
        <v>0.65</v>
      </c>
      <c r="R123" s="25">
        <v>330</v>
      </c>
      <c r="S123">
        <v>0</v>
      </c>
      <c r="T123" s="5" t="s">
        <v>321</v>
      </c>
      <c r="U123" s="1" t="s">
        <v>322</v>
      </c>
      <c r="V123" s="1" t="s">
        <v>47</v>
      </c>
      <c r="W123" s="25" t="s">
        <v>43</v>
      </c>
      <c r="X123" s="25">
        <v>0.5</v>
      </c>
      <c r="Y123" t="s">
        <v>76</v>
      </c>
      <c r="Z123" s="25">
        <v>50</v>
      </c>
      <c r="AA123" s="25">
        <v>5</v>
      </c>
      <c r="AB123" s="25">
        <v>5</v>
      </c>
      <c r="AC123" s="25">
        <v>0</v>
      </c>
      <c r="AD123" s="25">
        <v>0</v>
      </c>
      <c r="AE123" s="29">
        <v>0.2</v>
      </c>
      <c r="AF123" s="25">
        <v>20</v>
      </c>
      <c r="AG123" s="25">
        <v>0</v>
      </c>
      <c r="AH123" s="25">
        <v>0</v>
      </c>
      <c r="AI123" s="25">
        <v>0</v>
      </c>
      <c r="AJ123" s="25">
        <v>0</v>
      </c>
      <c r="AK123" s="29">
        <v>8</v>
      </c>
      <c r="AL123">
        <v>25</v>
      </c>
      <c r="AM123" t="s">
        <v>323</v>
      </c>
      <c r="AN123" t="s">
        <v>67</v>
      </c>
    </row>
    <row r="124" spans="1:40">
      <c r="A124" s="4" t="s">
        <v>315</v>
      </c>
      <c r="B124">
        <v>1992</v>
      </c>
      <c r="C124">
        <v>43</v>
      </c>
      <c r="D124">
        <v>4</v>
      </c>
      <c r="E124">
        <v>6</v>
      </c>
      <c r="F124">
        <v>13</v>
      </c>
      <c r="G124">
        <v>11</v>
      </c>
      <c r="H124">
        <v>0</v>
      </c>
      <c r="I124" t="s">
        <v>316</v>
      </c>
      <c r="J124" t="s">
        <v>317</v>
      </c>
      <c r="K124" t="s">
        <v>334</v>
      </c>
      <c r="L124" t="s">
        <v>345</v>
      </c>
      <c r="M124" t="str">
        <f t="shared" si="2"/>
        <v>Sophora</v>
      </c>
      <c r="N124" s="7" t="s">
        <v>346</v>
      </c>
      <c r="O124" t="s">
        <v>43</v>
      </c>
      <c r="P124" t="str">
        <f t="shared" si="3"/>
        <v>Moderate</v>
      </c>
      <c r="Q124">
        <v>0.29399999999999998</v>
      </c>
      <c r="R124" s="25">
        <v>330</v>
      </c>
      <c r="S124">
        <v>0</v>
      </c>
      <c r="T124" s="5" t="s">
        <v>321</v>
      </c>
      <c r="U124" s="1" t="s">
        <v>322</v>
      </c>
      <c r="V124" s="1" t="s">
        <v>47</v>
      </c>
      <c r="W124" s="25" t="s">
        <v>43</v>
      </c>
      <c r="X124" s="25">
        <v>0.5</v>
      </c>
      <c r="Y124" t="s">
        <v>76</v>
      </c>
      <c r="Z124" s="25">
        <v>50</v>
      </c>
      <c r="AA124" s="25">
        <v>5</v>
      </c>
      <c r="AB124" s="25">
        <v>5</v>
      </c>
      <c r="AC124" s="25">
        <v>0</v>
      </c>
      <c r="AD124" s="25">
        <v>0</v>
      </c>
      <c r="AE124" s="29">
        <v>0.2</v>
      </c>
      <c r="AF124" s="25">
        <v>20</v>
      </c>
      <c r="AG124" s="25">
        <v>0</v>
      </c>
      <c r="AH124" s="25">
        <v>0</v>
      </c>
      <c r="AI124" s="25">
        <v>0</v>
      </c>
      <c r="AJ124" s="25">
        <v>0</v>
      </c>
      <c r="AK124" s="29">
        <v>8</v>
      </c>
      <c r="AL124">
        <v>25</v>
      </c>
      <c r="AM124" t="s">
        <v>323</v>
      </c>
      <c r="AN124" t="s">
        <v>67</v>
      </c>
    </row>
    <row r="125" spans="1:40">
      <c r="A125" s="4" t="s">
        <v>315</v>
      </c>
      <c r="B125">
        <v>1992</v>
      </c>
      <c r="C125">
        <v>43</v>
      </c>
      <c r="D125">
        <v>4</v>
      </c>
      <c r="E125">
        <v>6</v>
      </c>
      <c r="F125">
        <v>13</v>
      </c>
      <c r="G125">
        <v>11</v>
      </c>
      <c r="H125">
        <v>0</v>
      </c>
      <c r="I125" t="s">
        <v>316</v>
      </c>
      <c r="J125" t="s">
        <v>317</v>
      </c>
      <c r="K125" t="s">
        <v>334</v>
      </c>
      <c r="L125" t="s">
        <v>345</v>
      </c>
      <c r="M125" t="str">
        <f t="shared" si="2"/>
        <v>Sophora</v>
      </c>
      <c r="N125" s="7" t="s">
        <v>347</v>
      </c>
      <c r="O125" t="s">
        <v>43</v>
      </c>
      <c r="P125" t="str">
        <f t="shared" si="3"/>
        <v>Low</v>
      </c>
      <c r="Q125">
        <v>0.153</v>
      </c>
      <c r="R125" s="25">
        <v>330</v>
      </c>
      <c r="S125">
        <v>0</v>
      </c>
      <c r="T125" s="5" t="s">
        <v>321</v>
      </c>
      <c r="U125" s="1" t="s">
        <v>322</v>
      </c>
      <c r="V125" s="1" t="s">
        <v>47</v>
      </c>
      <c r="W125" s="25" t="s">
        <v>43</v>
      </c>
      <c r="X125" s="25">
        <v>0.5</v>
      </c>
      <c r="Y125" t="s">
        <v>76</v>
      </c>
      <c r="Z125" s="25">
        <v>50</v>
      </c>
      <c r="AA125" s="25">
        <v>5</v>
      </c>
      <c r="AB125" s="25">
        <v>5</v>
      </c>
      <c r="AC125" s="25">
        <v>0</v>
      </c>
      <c r="AD125" s="25">
        <v>0</v>
      </c>
      <c r="AE125" s="29">
        <v>0.2</v>
      </c>
      <c r="AF125" s="25">
        <v>20</v>
      </c>
      <c r="AG125" s="25">
        <v>0</v>
      </c>
      <c r="AH125" s="25">
        <v>0</v>
      </c>
      <c r="AI125" s="25">
        <v>0</v>
      </c>
      <c r="AJ125" s="25">
        <v>0</v>
      </c>
      <c r="AK125" s="29">
        <v>8</v>
      </c>
      <c r="AL125">
        <v>25</v>
      </c>
      <c r="AM125" t="s">
        <v>323</v>
      </c>
      <c r="AN125" t="s">
        <v>67</v>
      </c>
    </row>
    <row r="126" spans="1:40">
      <c r="A126" s="4" t="s">
        <v>315</v>
      </c>
      <c r="B126">
        <v>1992</v>
      </c>
      <c r="C126">
        <v>43</v>
      </c>
      <c r="D126">
        <v>4</v>
      </c>
      <c r="E126">
        <v>6</v>
      </c>
      <c r="F126">
        <v>13</v>
      </c>
      <c r="G126">
        <v>11</v>
      </c>
      <c r="H126">
        <v>0</v>
      </c>
      <c r="I126" t="s">
        <v>316</v>
      </c>
      <c r="J126" t="s">
        <v>317</v>
      </c>
      <c r="K126" t="s">
        <v>334</v>
      </c>
      <c r="L126" t="s">
        <v>345</v>
      </c>
      <c r="M126" t="str">
        <f t="shared" si="2"/>
        <v>Sophora</v>
      </c>
      <c r="N126" s="7" t="s">
        <v>348</v>
      </c>
      <c r="O126" t="s">
        <v>43</v>
      </c>
      <c r="P126" t="str">
        <f t="shared" si="3"/>
        <v>Moderate</v>
      </c>
      <c r="Q126">
        <v>0.46700000000000003</v>
      </c>
      <c r="R126" s="25">
        <v>330</v>
      </c>
      <c r="S126">
        <v>0</v>
      </c>
      <c r="T126" s="5" t="s">
        <v>321</v>
      </c>
      <c r="U126" s="1" t="s">
        <v>322</v>
      </c>
      <c r="V126" s="1" t="s">
        <v>47</v>
      </c>
      <c r="W126" s="25" t="s">
        <v>43</v>
      </c>
      <c r="X126" s="25">
        <v>0.5</v>
      </c>
      <c r="Y126" t="s">
        <v>76</v>
      </c>
      <c r="Z126" s="25">
        <v>50</v>
      </c>
      <c r="AA126" s="25">
        <v>5</v>
      </c>
      <c r="AB126" s="25">
        <v>5</v>
      </c>
      <c r="AC126" s="25">
        <v>0</v>
      </c>
      <c r="AD126" s="25">
        <v>0</v>
      </c>
      <c r="AE126" s="29">
        <v>0.2</v>
      </c>
      <c r="AF126" s="25">
        <v>20</v>
      </c>
      <c r="AG126" s="25">
        <v>0</v>
      </c>
      <c r="AH126" s="25">
        <v>0</v>
      </c>
      <c r="AI126" s="25">
        <v>0</v>
      </c>
      <c r="AJ126" s="25">
        <v>0</v>
      </c>
      <c r="AK126" s="29">
        <v>8</v>
      </c>
      <c r="AL126">
        <v>25</v>
      </c>
      <c r="AM126" t="s">
        <v>323</v>
      </c>
      <c r="AN126" t="s">
        <v>67</v>
      </c>
    </row>
    <row r="127" spans="1:40">
      <c r="A127" s="4" t="s">
        <v>315</v>
      </c>
      <c r="B127">
        <v>1992</v>
      </c>
      <c r="C127">
        <v>43</v>
      </c>
      <c r="D127">
        <v>4</v>
      </c>
      <c r="E127">
        <v>6</v>
      </c>
      <c r="F127" s="2">
        <v>15</v>
      </c>
      <c r="G127">
        <v>1</v>
      </c>
      <c r="H127">
        <v>0</v>
      </c>
      <c r="I127" t="s">
        <v>316</v>
      </c>
      <c r="J127" t="s">
        <v>317</v>
      </c>
      <c r="K127" t="s">
        <v>334</v>
      </c>
      <c r="L127" t="s">
        <v>349</v>
      </c>
      <c r="M127" t="str">
        <f t="shared" si="2"/>
        <v>Crotalaria</v>
      </c>
      <c r="N127" s="7" t="s">
        <v>350</v>
      </c>
      <c r="O127" t="s">
        <v>43</v>
      </c>
      <c r="P127" t="str">
        <f t="shared" si="3"/>
        <v>Moderate</v>
      </c>
      <c r="Q127">
        <v>0.33200000000000002</v>
      </c>
      <c r="R127" s="25">
        <v>330</v>
      </c>
      <c r="S127">
        <v>0</v>
      </c>
      <c r="T127" s="5" t="s">
        <v>321</v>
      </c>
      <c r="U127" s="1" t="s">
        <v>322</v>
      </c>
      <c r="V127" s="1" t="s">
        <v>47</v>
      </c>
      <c r="W127" s="25" t="s">
        <v>43</v>
      </c>
      <c r="X127" s="25">
        <v>0.5</v>
      </c>
      <c r="Y127" t="s">
        <v>76</v>
      </c>
      <c r="Z127" s="25">
        <v>50</v>
      </c>
      <c r="AA127" s="25">
        <v>5</v>
      </c>
      <c r="AB127" s="25">
        <v>5</v>
      </c>
      <c r="AC127" s="25">
        <v>0</v>
      </c>
      <c r="AD127" s="25">
        <v>0</v>
      </c>
      <c r="AE127" s="29">
        <v>0.2</v>
      </c>
      <c r="AF127" s="25">
        <v>20</v>
      </c>
      <c r="AG127" s="25">
        <v>0</v>
      </c>
      <c r="AH127" s="25">
        <v>0</v>
      </c>
      <c r="AI127" s="25">
        <v>0</v>
      </c>
      <c r="AJ127" s="25">
        <v>0</v>
      </c>
      <c r="AK127" s="29">
        <v>8</v>
      </c>
      <c r="AL127">
        <v>25</v>
      </c>
      <c r="AM127" t="s">
        <v>323</v>
      </c>
      <c r="AN127" t="s">
        <v>67</v>
      </c>
    </row>
    <row r="128" spans="1:40">
      <c r="A128" s="4" t="s">
        <v>315</v>
      </c>
      <c r="B128">
        <v>1992</v>
      </c>
      <c r="C128">
        <v>43</v>
      </c>
      <c r="D128">
        <v>4</v>
      </c>
      <c r="E128">
        <v>6</v>
      </c>
      <c r="F128" s="2">
        <v>15</v>
      </c>
      <c r="G128">
        <v>2</v>
      </c>
      <c r="H128">
        <v>0</v>
      </c>
      <c r="I128" t="s">
        <v>316</v>
      </c>
      <c r="J128" t="s">
        <v>317</v>
      </c>
      <c r="K128" t="s">
        <v>334</v>
      </c>
      <c r="L128" t="s">
        <v>349</v>
      </c>
      <c r="M128" t="str">
        <f t="shared" si="2"/>
        <v>Lotononis</v>
      </c>
      <c r="N128" s="7" t="s">
        <v>351</v>
      </c>
      <c r="O128" t="s">
        <v>43</v>
      </c>
      <c r="P128" t="str">
        <f t="shared" si="3"/>
        <v>Low</v>
      </c>
      <c r="Q128">
        <v>9.4E-2</v>
      </c>
      <c r="R128" s="25">
        <v>330</v>
      </c>
      <c r="S128">
        <v>0</v>
      </c>
      <c r="T128" s="5" t="s">
        <v>321</v>
      </c>
      <c r="U128" s="1" t="s">
        <v>322</v>
      </c>
      <c r="V128" s="1" t="s">
        <v>47</v>
      </c>
      <c r="W128" s="25" t="s">
        <v>43</v>
      </c>
      <c r="X128" s="25">
        <v>0.5</v>
      </c>
      <c r="Y128" t="s">
        <v>76</v>
      </c>
      <c r="Z128" s="25">
        <v>50</v>
      </c>
      <c r="AA128" s="25">
        <v>5</v>
      </c>
      <c r="AB128" s="25">
        <v>5</v>
      </c>
      <c r="AC128" s="25">
        <v>0</v>
      </c>
      <c r="AD128" s="25">
        <v>0</v>
      </c>
      <c r="AE128" s="29">
        <v>0.2</v>
      </c>
      <c r="AF128" s="25">
        <v>20</v>
      </c>
      <c r="AG128" s="25">
        <v>0</v>
      </c>
      <c r="AH128" s="25">
        <v>0</v>
      </c>
      <c r="AI128" s="25">
        <v>0</v>
      </c>
      <c r="AJ128" s="25">
        <v>0</v>
      </c>
      <c r="AK128" s="29">
        <v>8</v>
      </c>
      <c r="AL128">
        <v>25</v>
      </c>
      <c r="AM128" t="s">
        <v>323</v>
      </c>
      <c r="AN128" t="s">
        <v>67</v>
      </c>
    </row>
    <row r="129" spans="1:40">
      <c r="A129" s="4" t="s">
        <v>315</v>
      </c>
      <c r="B129">
        <v>1992</v>
      </c>
      <c r="C129">
        <v>43</v>
      </c>
      <c r="D129">
        <v>4</v>
      </c>
      <c r="E129">
        <v>6</v>
      </c>
      <c r="F129" s="2">
        <v>15</v>
      </c>
      <c r="G129">
        <v>2</v>
      </c>
      <c r="H129">
        <v>0</v>
      </c>
      <c r="I129" t="s">
        <v>316</v>
      </c>
      <c r="J129" t="s">
        <v>317</v>
      </c>
      <c r="K129" t="s">
        <v>334</v>
      </c>
      <c r="L129" t="s">
        <v>349</v>
      </c>
      <c r="M129" t="str">
        <f t="shared" si="2"/>
        <v>Lotononis</v>
      </c>
      <c r="N129" s="7" t="s">
        <v>351</v>
      </c>
      <c r="O129" t="s">
        <v>43</v>
      </c>
      <c r="P129" t="str">
        <f t="shared" si="3"/>
        <v>High</v>
      </c>
      <c r="Q129">
        <v>0.55300000000000005</v>
      </c>
      <c r="R129" s="25">
        <v>330</v>
      </c>
      <c r="S129">
        <v>0</v>
      </c>
      <c r="T129" s="5" t="s">
        <v>321</v>
      </c>
      <c r="U129" s="1" t="s">
        <v>322</v>
      </c>
      <c r="V129" s="1" t="s">
        <v>47</v>
      </c>
      <c r="W129" s="25" t="s">
        <v>43</v>
      </c>
      <c r="X129" s="25">
        <v>0.5</v>
      </c>
      <c r="Y129" t="s">
        <v>76</v>
      </c>
      <c r="Z129" s="25">
        <v>50</v>
      </c>
      <c r="AA129" s="25">
        <v>5</v>
      </c>
      <c r="AB129" s="25">
        <v>5</v>
      </c>
      <c r="AC129" s="25">
        <v>0</v>
      </c>
      <c r="AD129" s="25">
        <v>0</v>
      </c>
      <c r="AE129" s="29">
        <v>0.2</v>
      </c>
      <c r="AF129" s="25">
        <v>20</v>
      </c>
      <c r="AG129" s="25">
        <v>0</v>
      </c>
      <c r="AH129" s="25">
        <v>0</v>
      </c>
      <c r="AI129" s="25">
        <v>0</v>
      </c>
      <c r="AJ129" s="25">
        <v>0</v>
      </c>
      <c r="AK129" s="29">
        <v>8</v>
      </c>
      <c r="AL129">
        <v>25</v>
      </c>
      <c r="AM129" t="s">
        <v>323</v>
      </c>
      <c r="AN129" t="s">
        <v>67</v>
      </c>
    </row>
    <row r="130" spans="1:40">
      <c r="A130" s="4" t="s">
        <v>315</v>
      </c>
      <c r="B130">
        <v>1992</v>
      </c>
      <c r="C130">
        <v>43</v>
      </c>
      <c r="D130">
        <v>4</v>
      </c>
      <c r="E130">
        <v>6</v>
      </c>
      <c r="F130">
        <v>16</v>
      </c>
      <c r="G130">
        <v>4</v>
      </c>
      <c r="H130">
        <v>1</v>
      </c>
      <c r="I130" t="s">
        <v>316</v>
      </c>
      <c r="J130" t="s">
        <v>317</v>
      </c>
      <c r="K130" t="s">
        <v>334</v>
      </c>
      <c r="L130" t="s">
        <v>352</v>
      </c>
      <c r="M130" t="str">
        <f t="shared" ref="M130:M193" si="4">LEFT(N130,FIND(" ",N130)-1)</f>
        <v>Lupinus</v>
      </c>
      <c r="N130" s="7" t="s">
        <v>353</v>
      </c>
      <c r="O130" t="s">
        <v>43</v>
      </c>
      <c r="P130" t="str">
        <f t="shared" ref="P130:P193" si="5">IF(Q130&lt;0.17,"Low",IF(Q130&lt;0.48,"Moderate",IF(Q130&lt;0.77,"High", "Very High")))</f>
        <v>Low</v>
      </c>
      <c r="Q130">
        <v>0</v>
      </c>
      <c r="R130" s="25">
        <v>330</v>
      </c>
      <c r="S130">
        <v>0</v>
      </c>
      <c r="T130" s="5" t="s">
        <v>321</v>
      </c>
      <c r="U130" s="1" t="s">
        <v>322</v>
      </c>
      <c r="V130" s="1" t="s">
        <v>47</v>
      </c>
      <c r="W130" s="25" t="s">
        <v>43</v>
      </c>
      <c r="X130" s="25">
        <v>0.5</v>
      </c>
      <c r="Y130" t="s">
        <v>76</v>
      </c>
      <c r="Z130" s="25">
        <v>50</v>
      </c>
      <c r="AA130" s="25">
        <v>5</v>
      </c>
      <c r="AB130" s="25">
        <v>5</v>
      </c>
      <c r="AC130" s="25">
        <v>0</v>
      </c>
      <c r="AD130" s="25">
        <v>0</v>
      </c>
      <c r="AE130" s="29">
        <v>0.2</v>
      </c>
      <c r="AF130" s="25">
        <v>20</v>
      </c>
      <c r="AG130" s="25">
        <v>0</v>
      </c>
      <c r="AH130" s="25">
        <v>0</v>
      </c>
      <c r="AI130" s="25">
        <v>0</v>
      </c>
      <c r="AJ130" s="25">
        <v>0</v>
      </c>
      <c r="AK130" s="29">
        <v>8</v>
      </c>
      <c r="AL130">
        <v>25</v>
      </c>
      <c r="AM130" t="s">
        <v>323</v>
      </c>
      <c r="AN130" t="s">
        <v>67</v>
      </c>
    </row>
    <row r="131" spans="1:40">
      <c r="A131" s="4" t="s">
        <v>315</v>
      </c>
      <c r="B131">
        <v>1992</v>
      </c>
      <c r="C131">
        <v>43</v>
      </c>
      <c r="D131">
        <v>4</v>
      </c>
      <c r="E131">
        <v>6</v>
      </c>
      <c r="F131">
        <v>16</v>
      </c>
      <c r="G131">
        <v>4</v>
      </c>
      <c r="H131">
        <v>1</v>
      </c>
      <c r="I131" t="s">
        <v>316</v>
      </c>
      <c r="J131" t="s">
        <v>317</v>
      </c>
      <c r="K131" t="s">
        <v>334</v>
      </c>
      <c r="L131" t="s">
        <v>352</v>
      </c>
      <c r="M131" t="str">
        <f t="shared" si="4"/>
        <v>Lupinus</v>
      </c>
      <c r="N131" s="7" t="s">
        <v>353</v>
      </c>
      <c r="O131" t="s">
        <v>43</v>
      </c>
      <c r="P131" t="str">
        <f t="shared" si="5"/>
        <v>Low</v>
      </c>
      <c r="Q131">
        <v>0</v>
      </c>
      <c r="R131" s="25">
        <v>330</v>
      </c>
      <c r="S131">
        <v>0</v>
      </c>
      <c r="T131" s="5" t="s">
        <v>321</v>
      </c>
      <c r="U131" s="1" t="s">
        <v>322</v>
      </c>
      <c r="V131" s="1" t="s">
        <v>47</v>
      </c>
      <c r="W131" s="25" t="s">
        <v>43</v>
      </c>
      <c r="X131" s="25">
        <v>0.5</v>
      </c>
      <c r="Y131" t="s">
        <v>76</v>
      </c>
      <c r="Z131" s="25">
        <v>50</v>
      </c>
      <c r="AA131" s="25">
        <v>5</v>
      </c>
      <c r="AB131" s="25">
        <v>5</v>
      </c>
      <c r="AC131" s="25">
        <v>0</v>
      </c>
      <c r="AD131" s="25">
        <v>0</v>
      </c>
      <c r="AE131" s="29">
        <v>0.2</v>
      </c>
      <c r="AF131" s="25">
        <v>20</v>
      </c>
      <c r="AG131" s="25">
        <v>0</v>
      </c>
      <c r="AH131" s="25">
        <v>0</v>
      </c>
      <c r="AI131" s="25">
        <v>0</v>
      </c>
      <c r="AJ131" s="25">
        <v>0</v>
      </c>
      <c r="AK131" s="29">
        <v>8</v>
      </c>
      <c r="AL131">
        <v>25</v>
      </c>
      <c r="AM131" t="s">
        <v>323</v>
      </c>
      <c r="AN131" t="s">
        <v>67</v>
      </c>
    </row>
    <row r="132" spans="1:40">
      <c r="A132" s="4" t="s">
        <v>315</v>
      </c>
      <c r="B132">
        <v>1992</v>
      </c>
      <c r="C132">
        <v>43</v>
      </c>
      <c r="D132">
        <v>4</v>
      </c>
      <c r="E132">
        <v>6</v>
      </c>
      <c r="F132">
        <v>16</v>
      </c>
      <c r="G132">
        <v>4</v>
      </c>
      <c r="H132">
        <v>2</v>
      </c>
      <c r="I132" t="s">
        <v>316</v>
      </c>
      <c r="J132" t="s">
        <v>317</v>
      </c>
      <c r="K132" t="s">
        <v>334</v>
      </c>
      <c r="L132" t="s">
        <v>352</v>
      </c>
      <c r="M132" t="str">
        <f t="shared" si="4"/>
        <v>Lupinus</v>
      </c>
      <c r="N132" s="7" t="s">
        <v>354</v>
      </c>
      <c r="O132" t="s">
        <v>43</v>
      </c>
      <c r="P132" t="str">
        <f t="shared" si="5"/>
        <v>Moderate</v>
      </c>
      <c r="Q132">
        <v>0.20300000000000001</v>
      </c>
      <c r="R132" s="25">
        <v>330</v>
      </c>
      <c r="S132">
        <v>0</v>
      </c>
      <c r="T132" s="5" t="s">
        <v>321</v>
      </c>
      <c r="U132" s="1" t="s">
        <v>322</v>
      </c>
      <c r="V132" s="1" t="s">
        <v>47</v>
      </c>
      <c r="W132" s="25" t="s">
        <v>43</v>
      </c>
      <c r="X132" s="25">
        <v>0.5</v>
      </c>
      <c r="Y132" t="s">
        <v>76</v>
      </c>
      <c r="Z132" s="25">
        <v>50</v>
      </c>
      <c r="AA132" s="25">
        <v>5</v>
      </c>
      <c r="AB132" s="25">
        <v>5</v>
      </c>
      <c r="AC132" s="25">
        <v>0</v>
      </c>
      <c r="AD132" s="25">
        <v>0</v>
      </c>
      <c r="AE132" s="29">
        <v>0.2</v>
      </c>
      <c r="AF132" s="25">
        <v>20</v>
      </c>
      <c r="AG132" s="25">
        <v>0</v>
      </c>
      <c r="AH132" s="25">
        <v>0</v>
      </c>
      <c r="AI132" s="25">
        <v>0</v>
      </c>
      <c r="AJ132" s="25">
        <v>0</v>
      </c>
      <c r="AK132" s="29">
        <v>8</v>
      </c>
      <c r="AL132">
        <v>25</v>
      </c>
      <c r="AM132" t="s">
        <v>323</v>
      </c>
      <c r="AN132" t="s">
        <v>67</v>
      </c>
    </row>
    <row r="133" spans="1:40">
      <c r="A133" s="4" t="s">
        <v>315</v>
      </c>
      <c r="B133">
        <v>1992</v>
      </c>
      <c r="C133">
        <v>43</v>
      </c>
      <c r="D133">
        <v>4</v>
      </c>
      <c r="E133">
        <v>6</v>
      </c>
      <c r="F133">
        <v>16</v>
      </c>
      <c r="G133">
        <v>4</v>
      </c>
      <c r="H133">
        <v>2</v>
      </c>
      <c r="I133" t="s">
        <v>316</v>
      </c>
      <c r="J133" t="s">
        <v>317</v>
      </c>
      <c r="K133" t="s">
        <v>334</v>
      </c>
      <c r="L133" t="s">
        <v>352</v>
      </c>
      <c r="M133" t="str">
        <f t="shared" si="4"/>
        <v>Lupinus</v>
      </c>
      <c r="N133" s="7" t="s">
        <v>355</v>
      </c>
      <c r="O133" t="s">
        <v>43</v>
      </c>
      <c r="P133" t="str">
        <f t="shared" si="5"/>
        <v>Low</v>
      </c>
      <c r="Q133">
        <v>0.104</v>
      </c>
      <c r="R133" s="25">
        <v>330</v>
      </c>
      <c r="S133">
        <v>0</v>
      </c>
      <c r="T133" s="5" t="s">
        <v>321</v>
      </c>
      <c r="U133" s="1" t="s">
        <v>322</v>
      </c>
      <c r="V133" s="1" t="s">
        <v>47</v>
      </c>
      <c r="W133" s="25" t="s">
        <v>43</v>
      </c>
      <c r="X133" s="25">
        <v>0.5</v>
      </c>
      <c r="Y133" t="s">
        <v>76</v>
      </c>
      <c r="Z133" s="25">
        <v>50</v>
      </c>
      <c r="AA133" s="25">
        <v>5</v>
      </c>
      <c r="AB133" s="25">
        <v>5</v>
      </c>
      <c r="AC133" s="25">
        <v>0</v>
      </c>
      <c r="AD133" s="25">
        <v>0</v>
      </c>
      <c r="AE133" s="29">
        <v>0.2</v>
      </c>
      <c r="AF133" s="25">
        <v>20</v>
      </c>
      <c r="AG133" s="25">
        <v>0</v>
      </c>
      <c r="AH133" s="25">
        <v>0</v>
      </c>
      <c r="AI133" s="25">
        <v>0</v>
      </c>
      <c r="AJ133" s="25">
        <v>0</v>
      </c>
      <c r="AK133" s="29">
        <v>8</v>
      </c>
      <c r="AL133">
        <v>25</v>
      </c>
      <c r="AM133" t="s">
        <v>323</v>
      </c>
      <c r="AN133" t="s">
        <v>67</v>
      </c>
    </row>
    <row r="134" spans="1:40">
      <c r="A134" s="4" t="s">
        <v>105</v>
      </c>
      <c r="B134">
        <v>1986</v>
      </c>
      <c r="C134">
        <v>43</v>
      </c>
      <c r="D134">
        <v>4</v>
      </c>
      <c r="E134">
        <v>6</v>
      </c>
      <c r="F134">
        <v>16</v>
      </c>
      <c r="G134">
        <v>4</v>
      </c>
      <c r="H134">
        <v>2</v>
      </c>
      <c r="I134" t="s">
        <v>316</v>
      </c>
      <c r="J134" t="s">
        <v>317</v>
      </c>
      <c r="K134" t="s">
        <v>334</v>
      </c>
      <c r="L134" t="s">
        <v>352</v>
      </c>
      <c r="M134" t="str">
        <f t="shared" si="4"/>
        <v>Lupinus</v>
      </c>
      <c r="N134" s="7" t="s">
        <v>356</v>
      </c>
      <c r="O134" t="s">
        <v>43</v>
      </c>
      <c r="P134" t="str">
        <f t="shared" si="5"/>
        <v>Low</v>
      </c>
      <c r="Q134">
        <v>1.5000000000000013E-2</v>
      </c>
      <c r="R134" s="25">
        <v>1000</v>
      </c>
      <c r="S134">
        <v>10</v>
      </c>
      <c r="T134" s="5" t="s">
        <v>110</v>
      </c>
      <c r="U134" s="1" t="s">
        <v>111</v>
      </c>
      <c r="V134" s="1" t="s">
        <v>47</v>
      </c>
      <c r="W134" s="25">
        <v>10</v>
      </c>
      <c r="X134" s="25">
        <v>0.5</v>
      </c>
      <c r="Y134" t="s">
        <v>48</v>
      </c>
      <c r="Z134" s="25">
        <v>100</v>
      </c>
      <c r="AA134" s="25">
        <v>5</v>
      </c>
      <c r="AB134" s="25">
        <v>0</v>
      </c>
      <c r="AC134" s="25">
        <v>5</v>
      </c>
      <c r="AD134" s="25">
        <v>0</v>
      </c>
      <c r="AE134" s="29">
        <v>0.66</v>
      </c>
      <c r="AF134" s="25">
        <v>10</v>
      </c>
      <c r="AG134" s="25">
        <v>0</v>
      </c>
      <c r="AH134" s="25">
        <v>0</v>
      </c>
      <c r="AI134" s="25">
        <v>0</v>
      </c>
      <c r="AJ134" s="25">
        <v>0</v>
      </c>
      <c r="AK134" s="29">
        <v>8</v>
      </c>
      <c r="AL134">
        <v>25</v>
      </c>
      <c r="AM134" t="s">
        <v>43</v>
      </c>
      <c r="AN134" t="s">
        <v>67</v>
      </c>
    </row>
    <row r="135" spans="1:40">
      <c r="A135" s="4" t="s">
        <v>315</v>
      </c>
      <c r="B135">
        <v>1992</v>
      </c>
      <c r="C135">
        <v>43</v>
      </c>
      <c r="D135">
        <v>4</v>
      </c>
      <c r="E135">
        <v>6</v>
      </c>
      <c r="F135">
        <v>16</v>
      </c>
      <c r="G135">
        <v>4</v>
      </c>
      <c r="H135">
        <v>2</v>
      </c>
      <c r="I135" t="s">
        <v>316</v>
      </c>
      <c r="J135" t="s">
        <v>317</v>
      </c>
      <c r="K135" t="s">
        <v>334</v>
      </c>
      <c r="L135" t="s">
        <v>352</v>
      </c>
      <c r="M135" t="str">
        <f t="shared" si="4"/>
        <v>Lupinus</v>
      </c>
      <c r="N135" s="7" t="s">
        <v>357</v>
      </c>
      <c r="O135" t="s">
        <v>43</v>
      </c>
      <c r="P135" t="str">
        <f t="shared" si="5"/>
        <v>Moderate</v>
      </c>
      <c r="Q135">
        <v>0.28299999999999997</v>
      </c>
      <c r="R135" s="25">
        <v>330</v>
      </c>
      <c r="S135">
        <v>0</v>
      </c>
      <c r="T135" s="5" t="s">
        <v>321</v>
      </c>
      <c r="U135" s="1" t="s">
        <v>322</v>
      </c>
      <c r="V135" s="1" t="s">
        <v>47</v>
      </c>
      <c r="W135" s="25" t="s">
        <v>43</v>
      </c>
      <c r="X135" s="25">
        <v>0.5</v>
      </c>
      <c r="Y135" t="s">
        <v>76</v>
      </c>
      <c r="Z135" s="25">
        <v>50</v>
      </c>
      <c r="AA135" s="25">
        <v>5</v>
      </c>
      <c r="AB135" s="25">
        <v>5</v>
      </c>
      <c r="AC135" s="25">
        <v>0</v>
      </c>
      <c r="AD135" s="25">
        <v>0</v>
      </c>
      <c r="AE135" s="29">
        <v>0.2</v>
      </c>
      <c r="AF135" s="25">
        <v>20</v>
      </c>
      <c r="AG135" s="25">
        <v>0</v>
      </c>
      <c r="AH135" s="25">
        <v>0</v>
      </c>
      <c r="AI135" s="25">
        <v>0</v>
      </c>
      <c r="AJ135" s="25">
        <v>0</v>
      </c>
      <c r="AK135" s="29">
        <v>8</v>
      </c>
      <c r="AL135">
        <v>25</v>
      </c>
      <c r="AM135" t="s">
        <v>323</v>
      </c>
      <c r="AN135" t="s">
        <v>67</v>
      </c>
    </row>
    <row r="136" spans="1:40">
      <c r="A136" s="4" t="s">
        <v>315</v>
      </c>
      <c r="B136">
        <v>1992</v>
      </c>
      <c r="C136">
        <v>43</v>
      </c>
      <c r="D136">
        <v>4</v>
      </c>
      <c r="E136">
        <v>6</v>
      </c>
      <c r="F136">
        <v>16</v>
      </c>
      <c r="G136">
        <v>4</v>
      </c>
      <c r="H136">
        <v>2</v>
      </c>
      <c r="I136" t="s">
        <v>316</v>
      </c>
      <c r="J136" t="s">
        <v>317</v>
      </c>
      <c r="K136" t="s">
        <v>334</v>
      </c>
      <c r="L136" t="s">
        <v>352</v>
      </c>
      <c r="M136" t="str">
        <f t="shared" si="4"/>
        <v>Lupinus</v>
      </c>
      <c r="N136" s="7" t="s">
        <v>357</v>
      </c>
      <c r="O136" t="s">
        <v>358</v>
      </c>
      <c r="P136" t="str">
        <f t="shared" si="5"/>
        <v>Low</v>
      </c>
      <c r="Q136">
        <v>5.7000000000000002E-2</v>
      </c>
      <c r="R136" s="25">
        <v>330</v>
      </c>
      <c r="S136">
        <v>0</v>
      </c>
      <c r="T136" s="5" t="s">
        <v>321</v>
      </c>
      <c r="U136" s="1" t="s">
        <v>322</v>
      </c>
      <c r="V136" s="1" t="s">
        <v>47</v>
      </c>
      <c r="W136" s="25" t="s">
        <v>43</v>
      </c>
      <c r="X136" s="25">
        <v>0.5</v>
      </c>
      <c r="Y136" t="s">
        <v>76</v>
      </c>
      <c r="Z136" s="25">
        <v>50</v>
      </c>
      <c r="AA136" s="25">
        <v>5</v>
      </c>
      <c r="AB136" s="25">
        <v>5</v>
      </c>
      <c r="AC136" s="25">
        <v>0</v>
      </c>
      <c r="AD136" s="25">
        <v>0</v>
      </c>
      <c r="AE136" s="29">
        <v>0.2</v>
      </c>
      <c r="AF136" s="25">
        <v>20</v>
      </c>
      <c r="AG136" s="25">
        <v>0</v>
      </c>
      <c r="AH136" s="25">
        <v>0</v>
      </c>
      <c r="AI136" s="25">
        <v>0</v>
      </c>
      <c r="AJ136" s="25">
        <v>0</v>
      </c>
      <c r="AK136" s="29">
        <v>8</v>
      </c>
      <c r="AL136">
        <v>25</v>
      </c>
      <c r="AM136" t="s">
        <v>323</v>
      </c>
      <c r="AN136" t="s">
        <v>67</v>
      </c>
    </row>
    <row r="137" spans="1:40">
      <c r="A137" s="4" t="s">
        <v>315</v>
      </c>
      <c r="B137">
        <v>1992</v>
      </c>
      <c r="C137">
        <v>43</v>
      </c>
      <c r="D137">
        <v>4</v>
      </c>
      <c r="E137">
        <v>6</v>
      </c>
      <c r="F137">
        <v>16</v>
      </c>
      <c r="G137">
        <v>5</v>
      </c>
      <c r="H137">
        <v>0</v>
      </c>
      <c r="I137" t="s">
        <v>316</v>
      </c>
      <c r="J137" t="s">
        <v>317</v>
      </c>
      <c r="K137" t="s">
        <v>334</v>
      </c>
      <c r="L137" t="s">
        <v>352</v>
      </c>
      <c r="M137" t="str">
        <f t="shared" si="4"/>
        <v>Laburnum</v>
      </c>
      <c r="N137" s="7" t="s">
        <v>359</v>
      </c>
      <c r="O137" t="s">
        <v>43</v>
      </c>
      <c r="P137" t="str">
        <f t="shared" si="5"/>
        <v>Moderate</v>
      </c>
      <c r="Q137">
        <v>0.45</v>
      </c>
      <c r="R137" s="25">
        <v>330</v>
      </c>
      <c r="S137">
        <v>0</v>
      </c>
      <c r="T137" s="5" t="s">
        <v>321</v>
      </c>
      <c r="U137" s="1" t="s">
        <v>322</v>
      </c>
      <c r="V137" s="1" t="s">
        <v>47</v>
      </c>
      <c r="W137" s="25" t="s">
        <v>43</v>
      </c>
      <c r="X137" s="25">
        <v>0.5</v>
      </c>
      <c r="Y137" t="s">
        <v>76</v>
      </c>
      <c r="Z137" s="25">
        <v>50</v>
      </c>
      <c r="AA137" s="25">
        <v>5</v>
      </c>
      <c r="AB137" s="25">
        <v>5</v>
      </c>
      <c r="AC137" s="25">
        <v>0</v>
      </c>
      <c r="AD137" s="25">
        <v>0</v>
      </c>
      <c r="AE137" s="29">
        <v>0.2</v>
      </c>
      <c r="AF137" s="25">
        <v>20</v>
      </c>
      <c r="AG137" s="25">
        <v>0</v>
      </c>
      <c r="AH137" s="25">
        <v>0</v>
      </c>
      <c r="AI137" s="25">
        <v>0</v>
      </c>
      <c r="AJ137" s="25">
        <v>0</v>
      </c>
      <c r="AK137" s="29">
        <v>8</v>
      </c>
      <c r="AL137">
        <v>25</v>
      </c>
      <c r="AM137" t="s">
        <v>323</v>
      </c>
      <c r="AN137" t="s">
        <v>67</v>
      </c>
    </row>
    <row r="138" spans="1:40">
      <c r="A138" s="4" t="s">
        <v>315</v>
      </c>
      <c r="B138">
        <v>1992</v>
      </c>
      <c r="C138">
        <v>43</v>
      </c>
      <c r="D138">
        <v>4</v>
      </c>
      <c r="E138">
        <v>6</v>
      </c>
      <c r="F138">
        <v>16</v>
      </c>
      <c r="G138">
        <v>5</v>
      </c>
      <c r="H138">
        <v>0</v>
      </c>
      <c r="I138" t="s">
        <v>316</v>
      </c>
      <c r="J138" t="s">
        <v>317</v>
      </c>
      <c r="K138" t="s">
        <v>334</v>
      </c>
      <c r="L138" t="s">
        <v>352</v>
      </c>
      <c r="M138" t="str">
        <f t="shared" si="4"/>
        <v>Laburnum</v>
      </c>
      <c r="N138" s="7" t="s">
        <v>359</v>
      </c>
      <c r="O138" t="s">
        <v>43</v>
      </c>
      <c r="P138" t="str">
        <f t="shared" si="5"/>
        <v>High</v>
      </c>
      <c r="Q138">
        <v>0.56499999999999995</v>
      </c>
      <c r="R138" s="25">
        <v>330</v>
      </c>
      <c r="S138">
        <v>0</v>
      </c>
      <c r="T138" s="5" t="s">
        <v>321</v>
      </c>
      <c r="U138" s="1" t="s">
        <v>322</v>
      </c>
      <c r="V138" s="1" t="s">
        <v>47</v>
      </c>
      <c r="W138" s="25" t="s">
        <v>43</v>
      </c>
      <c r="X138" s="25">
        <v>0.5</v>
      </c>
      <c r="Y138" t="s">
        <v>76</v>
      </c>
      <c r="Z138" s="25">
        <v>50</v>
      </c>
      <c r="AA138" s="25">
        <v>5</v>
      </c>
      <c r="AB138" s="25">
        <v>5</v>
      </c>
      <c r="AC138" s="25">
        <v>0</v>
      </c>
      <c r="AD138" s="25">
        <v>0</v>
      </c>
      <c r="AE138" s="29">
        <v>0.2</v>
      </c>
      <c r="AF138" s="25">
        <v>20</v>
      </c>
      <c r="AG138" s="25">
        <v>0</v>
      </c>
      <c r="AH138" s="25">
        <v>0</v>
      </c>
      <c r="AI138" s="25">
        <v>0</v>
      </c>
      <c r="AJ138" s="25">
        <v>0</v>
      </c>
      <c r="AK138" s="29">
        <v>8</v>
      </c>
      <c r="AL138">
        <v>25</v>
      </c>
      <c r="AM138" t="s">
        <v>323</v>
      </c>
      <c r="AN138" t="s">
        <v>67</v>
      </c>
    </row>
    <row r="139" spans="1:40">
      <c r="A139" s="4" t="s">
        <v>315</v>
      </c>
      <c r="B139">
        <v>1992</v>
      </c>
      <c r="C139">
        <v>43</v>
      </c>
      <c r="D139">
        <v>4</v>
      </c>
      <c r="E139">
        <v>6</v>
      </c>
      <c r="F139">
        <v>16</v>
      </c>
      <c r="G139">
        <v>14</v>
      </c>
      <c r="H139">
        <v>0</v>
      </c>
      <c r="I139" t="s">
        <v>316</v>
      </c>
      <c r="J139" t="s">
        <v>317</v>
      </c>
      <c r="K139" t="s">
        <v>334</v>
      </c>
      <c r="L139" t="s">
        <v>352</v>
      </c>
      <c r="M139" t="str">
        <f t="shared" si="4"/>
        <v>Genista</v>
      </c>
      <c r="N139" s="7" t="s">
        <v>360</v>
      </c>
      <c r="O139" t="s">
        <v>43</v>
      </c>
      <c r="P139" t="str">
        <f t="shared" si="5"/>
        <v>Moderate</v>
      </c>
      <c r="Q139">
        <v>0.252</v>
      </c>
      <c r="R139" s="25">
        <v>330</v>
      </c>
      <c r="S139">
        <v>0</v>
      </c>
      <c r="T139" s="5" t="s">
        <v>321</v>
      </c>
      <c r="U139" s="1" t="s">
        <v>322</v>
      </c>
      <c r="V139" s="1" t="s">
        <v>47</v>
      </c>
      <c r="W139" s="25" t="s">
        <v>43</v>
      </c>
      <c r="X139" s="25">
        <v>0.5</v>
      </c>
      <c r="Y139" t="s">
        <v>76</v>
      </c>
      <c r="Z139" s="25">
        <v>50</v>
      </c>
      <c r="AA139" s="25">
        <v>5</v>
      </c>
      <c r="AB139" s="25">
        <v>5</v>
      </c>
      <c r="AC139" s="25">
        <v>0</v>
      </c>
      <c r="AD139" s="25">
        <v>0</v>
      </c>
      <c r="AE139" s="29">
        <v>0.2</v>
      </c>
      <c r="AF139" s="25">
        <v>20</v>
      </c>
      <c r="AG139" s="25">
        <v>0</v>
      </c>
      <c r="AH139" s="25">
        <v>0</v>
      </c>
      <c r="AI139" s="25">
        <v>0</v>
      </c>
      <c r="AJ139" s="25">
        <v>0</v>
      </c>
      <c r="AK139" s="29">
        <v>8</v>
      </c>
      <c r="AL139">
        <v>25</v>
      </c>
      <c r="AM139" t="s">
        <v>323</v>
      </c>
      <c r="AN139" t="s">
        <v>67</v>
      </c>
    </row>
    <row r="140" spans="1:40">
      <c r="A140" s="4" t="s">
        <v>315</v>
      </c>
      <c r="B140">
        <v>1992</v>
      </c>
      <c r="C140">
        <v>43</v>
      </c>
      <c r="D140">
        <v>4</v>
      </c>
      <c r="E140">
        <v>6</v>
      </c>
      <c r="F140">
        <v>23</v>
      </c>
      <c r="G140">
        <v>1</v>
      </c>
      <c r="H140">
        <v>0</v>
      </c>
      <c r="I140" t="s">
        <v>316</v>
      </c>
      <c r="J140" t="s">
        <v>317</v>
      </c>
      <c r="K140" t="s">
        <v>334</v>
      </c>
      <c r="L140" t="s">
        <v>361</v>
      </c>
      <c r="M140" t="str">
        <f t="shared" si="4"/>
        <v>Robinia</v>
      </c>
      <c r="N140" s="7" t="s">
        <v>362</v>
      </c>
      <c r="O140" t="s">
        <v>43</v>
      </c>
      <c r="P140" t="str">
        <f t="shared" si="5"/>
        <v>High</v>
      </c>
      <c r="Q140">
        <v>0.63500000000000001</v>
      </c>
      <c r="R140" s="25">
        <v>330</v>
      </c>
      <c r="S140">
        <v>0</v>
      </c>
      <c r="T140" s="5" t="s">
        <v>321</v>
      </c>
      <c r="U140" s="1" t="s">
        <v>322</v>
      </c>
      <c r="V140" s="1" t="s">
        <v>47</v>
      </c>
      <c r="W140" s="25" t="s">
        <v>43</v>
      </c>
      <c r="X140" s="25">
        <v>0.5</v>
      </c>
      <c r="Y140" t="s">
        <v>76</v>
      </c>
      <c r="Z140" s="25">
        <v>50</v>
      </c>
      <c r="AA140" s="25">
        <v>5</v>
      </c>
      <c r="AB140" s="25">
        <v>5</v>
      </c>
      <c r="AC140" s="25">
        <v>0</v>
      </c>
      <c r="AD140" s="25">
        <v>0</v>
      </c>
      <c r="AE140" s="29">
        <v>0.2</v>
      </c>
      <c r="AF140" s="25">
        <v>20</v>
      </c>
      <c r="AG140" s="25">
        <v>0</v>
      </c>
      <c r="AH140" s="25">
        <v>0</v>
      </c>
      <c r="AI140" s="25">
        <v>0</v>
      </c>
      <c r="AJ140" s="25">
        <v>0</v>
      </c>
      <c r="AK140" s="29">
        <v>8</v>
      </c>
      <c r="AL140">
        <v>25</v>
      </c>
      <c r="AM140" t="s">
        <v>323</v>
      </c>
      <c r="AN140" t="s">
        <v>67</v>
      </c>
    </row>
    <row r="141" spans="1:40">
      <c r="A141" s="4" t="s">
        <v>315</v>
      </c>
      <c r="B141">
        <v>1992</v>
      </c>
      <c r="C141">
        <v>43</v>
      </c>
      <c r="D141">
        <v>4</v>
      </c>
      <c r="E141">
        <v>6</v>
      </c>
      <c r="F141">
        <v>24</v>
      </c>
      <c r="G141">
        <v>1</v>
      </c>
      <c r="H141">
        <v>0</v>
      </c>
      <c r="I141" t="s">
        <v>316</v>
      </c>
      <c r="J141" t="s">
        <v>317</v>
      </c>
      <c r="K141" t="s">
        <v>334</v>
      </c>
      <c r="L141" t="s">
        <v>363</v>
      </c>
      <c r="M141" t="str">
        <f t="shared" si="4"/>
        <v>Sesbania</v>
      </c>
      <c r="N141" s="7" t="s">
        <v>364</v>
      </c>
      <c r="O141" t="s">
        <v>43</v>
      </c>
      <c r="P141" t="str">
        <f t="shared" si="5"/>
        <v>Moderate</v>
      </c>
      <c r="Q141">
        <v>0.39100000000000001</v>
      </c>
      <c r="R141" s="25">
        <v>330</v>
      </c>
      <c r="S141">
        <v>0</v>
      </c>
      <c r="T141" s="5" t="s">
        <v>321</v>
      </c>
      <c r="U141" s="1" t="s">
        <v>322</v>
      </c>
      <c r="V141" s="1" t="s">
        <v>47</v>
      </c>
      <c r="W141" s="25" t="s">
        <v>43</v>
      </c>
      <c r="X141" s="25">
        <v>0.5</v>
      </c>
      <c r="Y141" t="s">
        <v>76</v>
      </c>
      <c r="Z141" s="25">
        <v>50</v>
      </c>
      <c r="AA141" s="25">
        <v>5</v>
      </c>
      <c r="AB141" s="25">
        <v>5</v>
      </c>
      <c r="AC141" s="25">
        <v>0</v>
      </c>
      <c r="AD141" s="25">
        <v>0</v>
      </c>
      <c r="AE141" s="29">
        <v>0.2</v>
      </c>
      <c r="AF141" s="25">
        <v>20</v>
      </c>
      <c r="AG141" s="25">
        <v>0</v>
      </c>
      <c r="AH141" s="25">
        <v>0</v>
      </c>
      <c r="AI141" s="25">
        <v>0</v>
      </c>
      <c r="AJ141" s="25">
        <v>0</v>
      </c>
      <c r="AK141" s="29">
        <v>8</v>
      </c>
      <c r="AL141">
        <v>25</v>
      </c>
      <c r="AM141" t="s">
        <v>323</v>
      </c>
      <c r="AN141" t="s">
        <v>67</v>
      </c>
    </row>
    <row r="142" spans="1:40">
      <c r="A142" s="4" t="s">
        <v>315</v>
      </c>
      <c r="B142">
        <v>1992</v>
      </c>
      <c r="C142">
        <v>43</v>
      </c>
      <c r="D142">
        <v>4</v>
      </c>
      <c r="E142">
        <v>6</v>
      </c>
      <c r="F142">
        <v>25</v>
      </c>
      <c r="G142">
        <v>0</v>
      </c>
      <c r="H142">
        <v>0</v>
      </c>
      <c r="I142" t="s">
        <v>316</v>
      </c>
      <c r="J142" t="s">
        <v>317</v>
      </c>
      <c r="K142" t="s">
        <v>334</v>
      </c>
      <c r="L142" t="s">
        <v>365</v>
      </c>
      <c r="M142" t="str">
        <f t="shared" si="4"/>
        <v>Ornithopus</v>
      </c>
      <c r="N142" s="7" t="s">
        <v>366</v>
      </c>
      <c r="O142" t="s">
        <v>43</v>
      </c>
      <c r="P142" t="str">
        <f t="shared" si="5"/>
        <v>Moderate</v>
      </c>
      <c r="Q142">
        <v>0.34899999999999998</v>
      </c>
      <c r="R142" s="25">
        <v>330</v>
      </c>
      <c r="S142">
        <v>0</v>
      </c>
      <c r="T142" s="5" t="s">
        <v>321</v>
      </c>
      <c r="U142" s="1" t="s">
        <v>322</v>
      </c>
      <c r="V142" s="1" t="s">
        <v>47</v>
      </c>
      <c r="W142" s="25" t="s">
        <v>43</v>
      </c>
      <c r="X142" s="25">
        <v>0.5</v>
      </c>
      <c r="Y142" t="s">
        <v>76</v>
      </c>
      <c r="Z142" s="25">
        <v>50</v>
      </c>
      <c r="AA142" s="25">
        <v>5</v>
      </c>
      <c r="AB142" s="25">
        <v>5</v>
      </c>
      <c r="AC142" s="25">
        <v>0</v>
      </c>
      <c r="AD142" s="25">
        <v>0</v>
      </c>
      <c r="AE142" s="29">
        <v>0.2</v>
      </c>
      <c r="AF142" s="25">
        <v>20</v>
      </c>
      <c r="AG142" s="25">
        <v>0</v>
      </c>
      <c r="AH142" s="25">
        <v>0</v>
      </c>
      <c r="AI142" s="25">
        <v>0</v>
      </c>
      <c r="AJ142" s="25">
        <v>0</v>
      </c>
      <c r="AK142" s="29">
        <v>8</v>
      </c>
      <c r="AL142">
        <v>25</v>
      </c>
      <c r="AM142" t="s">
        <v>323</v>
      </c>
      <c r="AN142" t="s">
        <v>67</v>
      </c>
    </row>
    <row r="143" spans="1:40">
      <c r="A143" s="4" t="s">
        <v>315</v>
      </c>
      <c r="B143">
        <v>1992</v>
      </c>
      <c r="C143">
        <v>43</v>
      </c>
      <c r="D143">
        <v>4</v>
      </c>
      <c r="E143">
        <v>6</v>
      </c>
      <c r="F143">
        <v>25</v>
      </c>
      <c r="G143">
        <v>0</v>
      </c>
      <c r="H143">
        <v>0</v>
      </c>
      <c r="I143" t="s">
        <v>316</v>
      </c>
      <c r="J143" t="s">
        <v>317</v>
      </c>
      <c r="K143" t="s">
        <v>334</v>
      </c>
      <c r="L143" t="s">
        <v>365</v>
      </c>
      <c r="M143" t="str">
        <f t="shared" si="4"/>
        <v>Tetragonolobus</v>
      </c>
      <c r="N143" s="7" t="s">
        <v>367</v>
      </c>
      <c r="O143" t="s">
        <v>43</v>
      </c>
      <c r="P143" t="str">
        <f t="shared" si="5"/>
        <v>High</v>
      </c>
      <c r="Q143">
        <v>0.502</v>
      </c>
      <c r="R143" s="25">
        <v>330</v>
      </c>
      <c r="S143">
        <v>0</v>
      </c>
      <c r="T143" s="5" t="s">
        <v>321</v>
      </c>
      <c r="U143" s="1" t="s">
        <v>322</v>
      </c>
      <c r="V143" s="1" t="s">
        <v>47</v>
      </c>
      <c r="W143" s="25" t="s">
        <v>43</v>
      </c>
      <c r="X143" s="25">
        <v>0.5</v>
      </c>
      <c r="Y143" t="s">
        <v>76</v>
      </c>
      <c r="Z143" s="25">
        <v>50</v>
      </c>
      <c r="AA143" s="25">
        <v>5</v>
      </c>
      <c r="AB143" s="25">
        <v>5</v>
      </c>
      <c r="AC143" s="25">
        <v>0</v>
      </c>
      <c r="AD143" s="25">
        <v>0</v>
      </c>
      <c r="AE143" s="29">
        <v>0.2</v>
      </c>
      <c r="AF143" s="25">
        <v>20</v>
      </c>
      <c r="AG143" s="25">
        <v>0</v>
      </c>
      <c r="AH143" s="25">
        <v>0</v>
      </c>
      <c r="AI143" s="25">
        <v>0</v>
      </c>
      <c r="AJ143" s="25">
        <v>0</v>
      </c>
      <c r="AK143" s="29">
        <v>8</v>
      </c>
      <c r="AL143">
        <v>25</v>
      </c>
      <c r="AM143" t="s">
        <v>323</v>
      </c>
      <c r="AN143" t="s">
        <v>67</v>
      </c>
    </row>
    <row r="144" spans="1:40">
      <c r="A144" s="4" t="s">
        <v>315</v>
      </c>
      <c r="B144">
        <v>1992</v>
      </c>
      <c r="C144">
        <v>43</v>
      </c>
      <c r="D144">
        <v>4</v>
      </c>
      <c r="E144">
        <v>6</v>
      </c>
      <c r="F144">
        <v>25</v>
      </c>
      <c r="G144">
        <v>3</v>
      </c>
      <c r="H144">
        <v>0</v>
      </c>
      <c r="I144" t="s">
        <v>316</v>
      </c>
      <c r="J144" t="s">
        <v>317</v>
      </c>
      <c r="K144" t="s">
        <v>334</v>
      </c>
      <c r="L144" t="s">
        <v>365</v>
      </c>
      <c r="M144" t="str">
        <f t="shared" si="4"/>
        <v>Coronilla</v>
      </c>
      <c r="N144" s="7" t="s">
        <v>368</v>
      </c>
      <c r="O144" t="s">
        <v>43</v>
      </c>
      <c r="P144" t="str">
        <f t="shared" si="5"/>
        <v>Moderate</v>
      </c>
      <c r="Q144">
        <v>0.27400000000000002</v>
      </c>
      <c r="R144" s="25">
        <v>330</v>
      </c>
      <c r="S144">
        <v>0</v>
      </c>
      <c r="T144" s="5" t="s">
        <v>321</v>
      </c>
      <c r="U144" s="1" t="s">
        <v>322</v>
      </c>
      <c r="V144" s="1" t="s">
        <v>47</v>
      </c>
      <c r="W144" s="25" t="s">
        <v>43</v>
      </c>
      <c r="X144" s="25">
        <v>0.5</v>
      </c>
      <c r="Y144" t="s">
        <v>76</v>
      </c>
      <c r="Z144" s="25">
        <v>50</v>
      </c>
      <c r="AA144" s="25">
        <v>5</v>
      </c>
      <c r="AB144" s="25">
        <v>5</v>
      </c>
      <c r="AC144" s="25">
        <v>0</v>
      </c>
      <c r="AD144" s="25">
        <v>0</v>
      </c>
      <c r="AE144" s="29">
        <v>0.2</v>
      </c>
      <c r="AF144" s="25">
        <v>20</v>
      </c>
      <c r="AG144" s="25">
        <v>0</v>
      </c>
      <c r="AH144" s="25">
        <v>0</v>
      </c>
      <c r="AI144" s="25">
        <v>0</v>
      </c>
      <c r="AJ144" s="25">
        <v>0</v>
      </c>
      <c r="AK144" s="29">
        <v>8</v>
      </c>
      <c r="AL144">
        <v>25</v>
      </c>
      <c r="AM144" t="s">
        <v>323</v>
      </c>
      <c r="AN144" t="s">
        <v>67</v>
      </c>
    </row>
    <row r="145" spans="1:40">
      <c r="A145" s="4" t="s">
        <v>315</v>
      </c>
      <c r="B145">
        <v>1992</v>
      </c>
      <c r="C145">
        <v>43</v>
      </c>
      <c r="D145">
        <v>4</v>
      </c>
      <c r="E145">
        <v>6</v>
      </c>
      <c r="F145">
        <v>25</v>
      </c>
      <c r="G145">
        <v>3</v>
      </c>
      <c r="H145">
        <v>0</v>
      </c>
      <c r="I145" t="s">
        <v>316</v>
      </c>
      <c r="J145" t="s">
        <v>317</v>
      </c>
      <c r="K145" t="s">
        <v>334</v>
      </c>
      <c r="L145" t="s">
        <v>365</v>
      </c>
      <c r="M145" t="str">
        <f t="shared" si="4"/>
        <v>Coronilla</v>
      </c>
      <c r="N145" s="7" t="s">
        <v>369</v>
      </c>
      <c r="O145" t="s">
        <v>43</v>
      </c>
      <c r="P145" t="str">
        <f t="shared" si="5"/>
        <v>High</v>
      </c>
      <c r="Q145">
        <v>0.70199999999999996</v>
      </c>
      <c r="R145" s="25">
        <v>330</v>
      </c>
      <c r="S145">
        <v>0</v>
      </c>
      <c r="T145" s="5" t="s">
        <v>321</v>
      </c>
      <c r="U145" s="1" t="s">
        <v>322</v>
      </c>
      <c r="V145" s="1" t="s">
        <v>47</v>
      </c>
      <c r="W145" s="25" t="s">
        <v>43</v>
      </c>
      <c r="X145" s="25">
        <v>0.5</v>
      </c>
      <c r="Y145" t="s">
        <v>76</v>
      </c>
      <c r="Z145" s="25">
        <v>50</v>
      </c>
      <c r="AA145" s="25">
        <v>5</v>
      </c>
      <c r="AB145" s="25">
        <v>5</v>
      </c>
      <c r="AC145" s="25">
        <v>0</v>
      </c>
      <c r="AD145" s="25">
        <v>0</v>
      </c>
      <c r="AE145" s="29">
        <v>0.2</v>
      </c>
      <c r="AF145" s="25">
        <v>20</v>
      </c>
      <c r="AG145" s="25">
        <v>0</v>
      </c>
      <c r="AH145" s="25">
        <v>0</v>
      </c>
      <c r="AI145" s="25">
        <v>0</v>
      </c>
      <c r="AJ145" s="25">
        <v>0</v>
      </c>
      <c r="AK145" s="29">
        <v>8</v>
      </c>
      <c r="AL145">
        <v>25</v>
      </c>
      <c r="AM145" t="s">
        <v>323</v>
      </c>
      <c r="AN145" t="s">
        <v>67</v>
      </c>
    </row>
    <row r="146" spans="1:40">
      <c r="A146" s="4" t="s">
        <v>315</v>
      </c>
      <c r="B146">
        <v>1992</v>
      </c>
      <c r="C146">
        <v>43</v>
      </c>
      <c r="D146">
        <v>4</v>
      </c>
      <c r="E146">
        <v>6</v>
      </c>
      <c r="F146">
        <v>25</v>
      </c>
      <c r="G146">
        <v>7</v>
      </c>
      <c r="H146">
        <v>0</v>
      </c>
      <c r="I146" t="s">
        <v>316</v>
      </c>
      <c r="J146" t="s">
        <v>317</v>
      </c>
      <c r="K146" t="s">
        <v>334</v>
      </c>
      <c r="L146" t="s">
        <v>365</v>
      </c>
      <c r="M146" t="str">
        <f t="shared" si="4"/>
        <v>Lotus</v>
      </c>
      <c r="N146" s="7" t="s">
        <v>370</v>
      </c>
      <c r="O146" t="s">
        <v>43</v>
      </c>
      <c r="P146" t="str">
        <f t="shared" si="5"/>
        <v>Moderate</v>
      </c>
      <c r="Q146">
        <v>0.22600000000000001</v>
      </c>
      <c r="R146" s="25">
        <v>330</v>
      </c>
      <c r="S146">
        <v>0</v>
      </c>
      <c r="T146" s="5" t="s">
        <v>321</v>
      </c>
      <c r="U146" s="1" t="s">
        <v>322</v>
      </c>
      <c r="V146" s="1" t="s">
        <v>47</v>
      </c>
      <c r="W146" s="25" t="s">
        <v>43</v>
      </c>
      <c r="X146" s="25">
        <v>0.5</v>
      </c>
      <c r="Y146" t="s">
        <v>76</v>
      </c>
      <c r="Z146" s="25">
        <v>50</v>
      </c>
      <c r="AA146" s="25">
        <v>5</v>
      </c>
      <c r="AB146" s="25">
        <v>5</v>
      </c>
      <c r="AC146" s="25">
        <v>0</v>
      </c>
      <c r="AD146" s="25">
        <v>0</v>
      </c>
      <c r="AE146" s="29">
        <v>0.2</v>
      </c>
      <c r="AF146" s="25">
        <v>20</v>
      </c>
      <c r="AG146" s="25">
        <v>0</v>
      </c>
      <c r="AH146" s="25">
        <v>0</v>
      </c>
      <c r="AI146" s="25">
        <v>0</v>
      </c>
      <c r="AJ146" s="25">
        <v>0</v>
      </c>
      <c r="AK146" s="29">
        <v>8</v>
      </c>
      <c r="AL146">
        <v>25</v>
      </c>
      <c r="AM146" t="s">
        <v>323</v>
      </c>
      <c r="AN146" t="s">
        <v>67</v>
      </c>
    </row>
    <row r="147" spans="1:40">
      <c r="A147" s="4" t="s">
        <v>315</v>
      </c>
      <c r="B147">
        <v>1992</v>
      </c>
      <c r="C147">
        <v>43</v>
      </c>
      <c r="D147">
        <v>4</v>
      </c>
      <c r="E147">
        <v>6</v>
      </c>
      <c r="F147">
        <v>25</v>
      </c>
      <c r="G147">
        <v>7</v>
      </c>
      <c r="H147">
        <v>0</v>
      </c>
      <c r="I147" t="s">
        <v>316</v>
      </c>
      <c r="J147" t="s">
        <v>317</v>
      </c>
      <c r="K147" t="s">
        <v>334</v>
      </c>
      <c r="L147" t="s">
        <v>365</v>
      </c>
      <c r="M147" t="str">
        <f t="shared" si="4"/>
        <v>Lotus</v>
      </c>
      <c r="N147" s="7" t="s">
        <v>371</v>
      </c>
      <c r="O147" t="s">
        <v>43</v>
      </c>
      <c r="P147" t="str">
        <f t="shared" si="5"/>
        <v>Moderate</v>
      </c>
      <c r="Q147">
        <v>0.434</v>
      </c>
      <c r="R147" s="25">
        <v>330</v>
      </c>
      <c r="S147">
        <v>0</v>
      </c>
      <c r="T147" s="5" t="s">
        <v>321</v>
      </c>
      <c r="U147" s="1" t="s">
        <v>322</v>
      </c>
      <c r="V147" s="1" t="s">
        <v>47</v>
      </c>
      <c r="W147" s="25" t="s">
        <v>43</v>
      </c>
      <c r="X147" s="25">
        <v>0.5</v>
      </c>
      <c r="Y147" t="s">
        <v>76</v>
      </c>
      <c r="Z147" s="25">
        <v>50</v>
      </c>
      <c r="AA147" s="25">
        <v>5</v>
      </c>
      <c r="AB147" s="25">
        <v>5</v>
      </c>
      <c r="AC147" s="25">
        <v>0</v>
      </c>
      <c r="AD147" s="25">
        <v>0</v>
      </c>
      <c r="AE147" s="29">
        <v>0.2</v>
      </c>
      <c r="AF147" s="25">
        <v>20</v>
      </c>
      <c r="AG147" s="25">
        <v>0</v>
      </c>
      <c r="AH147" s="25">
        <v>0</v>
      </c>
      <c r="AI147" s="25">
        <v>0</v>
      </c>
      <c r="AJ147" s="25">
        <v>0</v>
      </c>
      <c r="AK147" s="29">
        <v>8</v>
      </c>
      <c r="AL147">
        <v>25</v>
      </c>
      <c r="AM147" t="s">
        <v>323</v>
      </c>
      <c r="AN147" t="s">
        <v>67</v>
      </c>
    </row>
    <row r="148" spans="1:40">
      <c r="A148" s="4" t="s">
        <v>315</v>
      </c>
      <c r="B148">
        <v>1992</v>
      </c>
      <c r="C148">
        <v>43</v>
      </c>
      <c r="D148">
        <v>4</v>
      </c>
      <c r="E148">
        <v>6</v>
      </c>
      <c r="F148">
        <v>27</v>
      </c>
      <c r="G148">
        <v>1</v>
      </c>
      <c r="H148">
        <v>0</v>
      </c>
      <c r="I148" t="s">
        <v>316</v>
      </c>
      <c r="J148" t="s">
        <v>317</v>
      </c>
      <c r="K148" t="s">
        <v>334</v>
      </c>
      <c r="L148" t="s">
        <v>372</v>
      </c>
      <c r="M148" t="str">
        <f t="shared" si="4"/>
        <v>Glycyrrhiza</v>
      </c>
      <c r="N148" s="7" t="s">
        <v>373</v>
      </c>
      <c r="O148" t="s">
        <v>43</v>
      </c>
      <c r="P148" t="str">
        <f t="shared" si="5"/>
        <v>High</v>
      </c>
      <c r="Q148">
        <v>0.54100000000000004</v>
      </c>
      <c r="R148" s="25">
        <v>330</v>
      </c>
      <c r="S148">
        <v>0</v>
      </c>
      <c r="T148" s="5" t="s">
        <v>321</v>
      </c>
      <c r="U148" s="1" t="s">
        <v>322</v>
      </c>
      <c r="V148" s="1" t="s">
        <v>47</v>
      </c>
      <c r="W148" s="25" t="s">
        <v>43</v>
      </c>
      <c r="X148" s="25">
        <v>0.5</v>
      </c>
      <c r="Y148" t="s">
        <v>76</v>
      </c>
      <c r="Z148" s="25">
        <v>50</v>
      </c>
      <c r="AA148" s="25">
        <v>5</v>
      </c>
      <c r="AB148" s="25">
        <v>5</v>
      </c>
      <c r="AC148" s="25">
        <v>0</v>
      </c>
      <c r="AD148" s="25">
        <v>0</v>
      </c>
      <c r="AE148" s="29">
        <v>0.2</v>
      </c>
      <c r="AF148" s="25">
        <v>20</v>
      </c>
      <c r="AG148" s="25">
        <v>0</v>
      </c>
      <c r="AH148" s="25">
        <v>0</v>
      </c>
      <c r="AI148" s="25">
        <v>0</v>
      </c>
      <c r="AJ148" s="25">
        <v>0</v>
      </c>
      <c r="AK148" s="29">
        <v>8</v>
      </c>
      <c r="AL148">
        <v>25</v>
      </c>
      <c r="AM148" t="s">
        <v>323</v>
      </c>
      <c r="AN148" t="s">
        <v>67</v>
      </c>
    </row>
    <row r="149" spans="1:40" ht="15" customHeight="1">
      <c r="A149" s="4" t="s">
        <v>315</v>
      </c>
      <c r="B149">
        <v>1992</v>
      </c>
      <c r="C149">
        <v>43</v>
      </c>
      <c r="D149">
        <v>4</v>
      </c>
      <c r="E149">
        <v>6</v>
      </c>
      <c r="F149">
        <v>27</v>
      </c>
      <c r="G149">
        <v>1</v>
      </c>
      <c r="H149">
        <v>0</v>
      </c>
      <c r="I149" t="s">
        <v>316</v>
      </c>
      <c r="J149" t="s">
        <v>317</v>
      </c>
      <c r="K149" t="s">
        <v>334</v>
      </c>
      <c r="L149" t="s">
        <v>372</v>
      </c>
      <c r="M149" t="str">
        <f t="shared" si="4"/>
        <v>Glycyrrhiza</v>
      </c>
      <c r="N149" s="7" t="s">
        <v>374</v>
      </c>
      <c r="O149" t="s">
        <v>43</v>
      </c>
      <c r="P149" t="str">
        <f t="shared" si="5"/>
        <v>Low</v>
      </c>
      <c r="Q149">
        <v>0.155</v>
      </c>
      <c r="R149" s="25">
        <v>330</v>
      </c>
      <c r="S149">
        <v>0</v>
      </c>
      <c r="T149" s="5" t="s">
        <v>321</v>
      </c>
      <c r="U149" s="1" t="s">
        <v>322</v>
      </c>
      <c r="V149" s="1" t="s">
        <v>47</v>
      </c>
      <c r="W149" s="25" t="s">
        <v>43</v>
      </c>
      <c r="X149" s="25">
        <v>0.5</v>
      </c>
      <c r="Y149" t="s">
        <v>76</v>
      </c>
      <c r="Z149" s="25">
        <v>50</v>
      </c>
      <c r="AA149" s="25">
        <v>5</v>
      </c>
      <c r="AB149" s="25">
        <v>5</v>
      </c>
      <c r="AC149" s="25">
        <v>0</v>
      </c>
      <c r="AD149" s="25">
        <v>0</v>
      </c>
      <c r="AE149" s="29">
        <v>0.2</v>
      </c>
      <c r="AF149" s="25">
        <v>20</v>
      </c>
      <c r="AG149" s="25">
        <v>0</v>
      </c>
      <c r="AH149" s="25">
        <v>0</v>
      </c>
      <c r="AI149" s="25">
        <v>0</v>
      </c>
      <c r="AJ149" s="25">
        <v>0</v>
      </c>
      <c r="AK149" s="29">
        <v>8</v>
      </c>
      <c r="AL149">
        <v>25</v>
      </c>
      <c r="AM149" t="s">
        <v>323</v>
      </c>
      <c r="AN149" t="s">
        <v>67</v>
      </c>
    </row>
    <row r="150" spans="1:40">
      <c r="A150" s="4" t="s">
        <v>315</v>
      </c>
      <c r="B150">
        <v>1992</v>
      </c>
      <c r="C150">
        <v>43</v>
      </c>
      <c r="D150">
        <v>4</v>
      </c>
      <c r="E150">
        <v>6</v>
      </c>
      <c r="F150">
        <v>28</v>
      </c>
      <c r="G150">
        <v>1</v>
      </c>
      <c r="H150">
        <v>0</v>
      </c>
      <c r="I150" t="s">
        <v>316</v>
      </c>
      <c r="J150" t="s">
        <v>317</v>
      </c>
      <c r="K150" t="s">
        <v>334</v>
      </c>
      <c r="L150" t="s">
        <v>375</v>
      </c>
      <c r="M150" t="str">
        <f t="shared" si="4"/>
        <v>Cicer</v>
      </c>
      <c r="N150" s="7" t="s">
        <v>376</v>
      </c>
      <c r="O150" t="s">
        <v>377</v>
      </c>
      <c r="P150" t="str">
        <f t="shared" si="5"/>
        <v>Low</v>
      </c>
      <c r="Q150">
        <v>1.9E-2</v>
      </c>
      <c r="R150" s="25">
        <v>330</v>
      </c>
      <c r="S150">
        <v>0</v>
      </c>
      <c r="T150" s="5" t="s">
        <v>321</v>
      </c>
      <c r="U150" s="1" t="s">
        <v>322</v>
      </c>
      <c r="V150" s="1" t="s">
        <v>47</v>
      </c>
      <c r="W150" s="25" t="s">
        <v>43</v>
      </c>
      <c r="X150" s="25">
        <v>0.5</v>
      </c>
      <c r="Y150" t="s">
        <v>76</v>
      </c>
      <c r="Z150" s="25">
        <v>50</v>
      </c>
      <c r="AA150" s="25">
        <v>5</v>
      </c>
      <c r="AB150" s="25">
        <v>5</v>
      </c>
      <c r="AC150" s="25">
        <v>0</v>
      </c>
      <c r="AD150" s="25">
        <v>0</v>
      </c>
      <c r="AE150" s="29">
        <v>0.2</v>
      </c>
      <c r="AF150" s="25">
        <v>20</v>
      </c>
      <c r="AG150" s="25">
        <v>0</v>
      </c>
      <c r="AH150" s="25">
        <v>0</v>
      </c>
      <c r="AI150" s="25">
        <v>0</v>
      </c>
      <c r="AJ150" s="25">
        <v>0</v>
      </c>
      <c r="AK150" s="29">
        <v>8</v>
      </c>
      <c r="AL150">
        <v>25</v>
      </c>
      <c r="AM150" t="s">
        <v>323</v>
      </c>
      <c r="AN150" t="s">
        <v>67</v>
      </c>
    </row>
    <row r="151" spans="1:40">
      <c r="A151" s="4" t="s">
        <v>315</v>
      </c>
      <c r="B151">
        <v>1992</v>
      </c>
      <c r="C151">
        <v>43</v>
      </c>
      <c r="D151">
        <v>4</v>
      </c>
      <c r="E151">
        <v>6</v>
      </c>
      <c r="F151">
        <v>28</v>
      </c>
      <c r="G151">
        <v>1</v>
      </c>
      <c r="H151">
        <v>0</v>
      </c>
      <c r="I151" t="s">
        <v>316</v>
      </c>
      <c r="J151" t="s">
        <v>317</v>
      </c>
      <c r="K151" t="s">
        <v>334</v>
      </c>
      <c r="L151" t="s">
        <v>375</v>
      </c>
      <c r="M151" t="str">
        <f t="shared" si="4"/>
        <v>Cicer</v>
      </c>
      <c r="N151" s="7" t="s">
        <v>376</v>
      </c>
      <c r="O151" t="s">
        <v>43</v>
      </c>
      <c r="P151" t="str">
        <f t="shared" si="5"/>
        <v>Low</v>
      </c>
      <c r="Q151">
        <v>0</v>
      </c>
      <c r="R151" s="25">
        <v>330</v>
      </c>
      <c r="S151">
        <v>0</v>
      </c>
      <c r="T151" s="5" t="s">
        <v>321</v>
      </c>
      <c r="U151" s="1" t="s">
        <v>322</v>
      </c>
      <c r="V151" s="1" t="s">
        <v>47</v>
      </c>
      <c r="W151" s="25" t="s">
        <v>43</v>
      </c>
      <c r="X151" s="25">
        <v>0.5</v>
      </c>
      <c r="Y151" t="s">
        <v>76</v>
      </c>
      <c r="Z151" s="25">
        <v>50</v>
      </c>
      <c r="AA151" s="25">
        <v>5</v>
      </c>
      <c r="AB151" s="25">
        <v>5</v>
      </c>
      <c r="AC151" s="25">
        <v>0</v>
      </c>
      <c r="AD151" s="25">
        <v>0</v>
      </c>
      <c r="AE151" s="29">
        <v>0.2</v>
      </c>
      <c r="AF151" s="25">
        <v>20</v>
      </c>
      <c r="AG151" s="25">
        <v>0</v>
      </c>
      <c r="AH151" s="25">
        <v>0</v>
      </c>
      <c r="AI151" s="25">
        <v>0</v>
      </c>
      <c r="AJ151" s="25">
        <v>0</v>
      </c>
      <c r="AK151" s="29">
        <v>8</v>
      </c>
      <c r="AL151">
        <v>25</v>
      </c>
      <c r="AM151" t="s">
        <v>323</v>
      </c>
      <c r="AN151" t="s">
        <v>67</v>
      </c>
    </row>
    <row r="152" spans="1:40">
      <c r="A152" s="4" t="s">
        <v>315</v>
      </c>
      <c r="B152">
        <v>1992</v>
      </c>
      <c r="C152">
        <v>43</v>
      </c>
      <c r="D152">
        <v>4</v>
      </c>
      <c r="E152">
        <v>6</v>
      </c>
      <c r="F152">
        <v>28</v>
      </c>
      <c r="G152">
        <v>1</v>
      </c>
      <c r="H152">
        <v>0</v>
      </c>
      <c r="I152" t="s">
        <v>316</v>
      </c>
      <c r="J152" t="s">
        <v>317</v>
      </c>
      <c r="K152" t="s">
        <v>334</v>
      </c>
      <c r="L152" t="s">
        <v>375</v>
      </c>
      <c r="M152" t="str">
        <f t="shared" si="4"/>
        <v>Cicer</v>
      </c>
      <c r="N152" s="7" t="s">
        <v>376</v>
      </c>
      <c r="O152" t="s">
        <v>43</v>
      </c>
      <c r="P152" t="str">
        <f t="shared" si="5"/>
        <v>Low</v>
      </c>
      <c r="Q152">
        <v>0</v>
      </c>
      <c r="R152" s="25">
        <v>330</v>
      </c>
      <c r="S152">
        <v>0</v>
      </c>
      <c r="T152" s="5" t="s">
        <v>321</v>
      </c>
      <c r="U152" s="1" t="s">
        <v>322</v>
      </c>
      <c r="V152" s="1" t="s">
        <v>47</v>
      </c>
      <c r="W152" s="25" t="s">
        <v>43</v>
      </c>
      <c r="X152" s="25">
        <v>0.5</v>
      </c>
      <c r="Y152" t="s">
        <v>76</v>
      </c>
      <c r="Z152" s="25">
        <v>50</v>
      </c>
      <c r="AA152" s="25">
        <v>5</v>
      </c>
      <c r="AB152" s="25">
        <v>5</v>
      </c>
      <c r="AC152" s="25">
        <v>0</v>
      </c>
      <c r="AD152" s="25">
        <v>0</v>
      </c>
      <c r="AE152" s="29">
        <v>0.2</v>
      </c>
      <c r="AF152" s="25">
        <v>20</v>
      </c>
      <c r="AG152" s="25">
        <v>0</v>
      </c>
      <c r="AH152" s="25">
        <v>0</v>
      </c>
      <c r="AI152" s="25">
        <v>0</v>
      </c>
      <c r="AJ152" s="25">
        <v>0</v>
      </c>
      <c r="AK152" s="29">
        <v>8</v>
      </c>
      <c r="AL152">
        <v>25</v>
      </c>
      <c r="AM152" t="s">
        <v>323</v>
      </c>
      <c r="AN152" t="s">
        <v>67</v>
      </c>
    </row>
    <row r="153" spans="1:40">
      <c r="A153" s="4" t="s">
        <v>315</v>
      </c>
      <c r="B153">
        <v>1992</v>
      </c>
      <c r="C153">
        <v>43</v>
      </c>
      <c r="D153">
        <v>4</v>
      </c>
      <c r="E153">
        <v>6</v>
      </c>
      <c r="F153">
        <v>29</v>
      </c>
      <c r="G153">
        <v>1</v>
      </c>
      <c r="H153">
        <v>0</v>
      </c>
      <c r="I153" t="s">
        <v>316</v>
      </c>
      <c r="J153" t="s">
        <v>317</v>
      </c>
      <c r="K153" t="s">
        <v>334</v>
      </c>
      <c r="L153" t="s">
        <v>378</v>
      </c>
      <c r="M153" t="str">
        <f t="shared" si="4"/>
        <v>Galega</v>
      </c>
      <c r="N153" s="7" t="s">
        <v>379</v>
      </c>
      <c r="O153" t="s">
        <v>43</v>
      </c>
      <c r="P153" t="str">
        <f t="shared" si="5"/>
        <v>High</v>
      </c>
      <c r="Q153">
        <v>0.49399999999999999</v>
      </c>
      <c r="R153" s="25">
        <v>330</v>
      </c>
      <c r="S153">
        <v>0</v>
      </c>
      <c r="T153" s="5" t="s">
        <v>321</v>
      </c>
      <c r="U153" s="1" t="s">
        <v>322</v>
      </c>
      <c r="V153" s="1" t="s">
        <v>47</v>
      </c>
      <c r="W153" s="25" t="s">
        <v>43</v>
      </c>
      <c r="X153" s="25">
        <v>0.5</v>
      </c>
      <c r="Y153" t="s">
        <v>76</v>
      </c>
      <c r="Z153" s="25">
        <v>50</v>
      </c>
      <c r="AA153" s="25">
        <v>5</v>
      </c>
      <c r="AB153" s="25">
        <v>5</v>
      </c>
      <c r="AC153" s="25">
        <v>0</v>
      </c>
      <c r="AD153" s="25">
        <v>0</v>
      </c>
      <c r="AE153" s="29">
        <v>0.2</v>
      </c>
      <c r="AF153" s="25">
        <v>20</v>
      </c>
      <c r="AG153" s="25">
        <v>0</v>
      </c>
      <c r="AH153" s="25">
        <v>0</v>
      </c>
      <c r="AI153" s="25">
        <v>0</v>
      </c>
      <c r="AJ153" s="25">
        <v>0</v>
      </c>
      <c r="AK153" s="29">
        <v>8</v>
      </c>
      <c r="AL153">
        <v>25</v>
      </c>
      <c r="AM153" t="s">
        <v>323</v>
      </c>
      <c r="AN153" t="s">
        <v>67</v>
      </c>
    </row>
    <row r="154" spans="1:40">
      <c r="A154" s="4" t="s">
        <v>315</v>
      </c>
      <c r="B154">
        <v>1992</v>
      </c>
      <c r="C154">
        <v>43</v>
      </c>
      <c r="D154">
        <v>4</v>
      </c>
      <c r="E154">
        <v>6</v>
      </c>
      <c r="F154">
        <v>30</v>
      </c>
      <c r="G154">
        <v>1</v>
      </c>
      <c r="H154">
        <v>0</v>
      </c>
      <c r="I154" t="s">
        <v>316</v>
      </c>
      <c r="J154" t="s">
        <v>317</v>
      </c>
      <c r="K154" t="s">
        <v>334</v>
      </c>
      <c r="L154" t="s">
        <v>380</v>
      </c>
      <c r="M154" t="str">
        <f t="shared" si="4"/>
        <v>Vicia</v>
      </c>
      <c r="N154" s="7" t="s">
        <v>381</v>
      </c>
      <c r="O154" t="s">
        <v>43</v>
      </c>
      <c r="P154" t="str">
        <f t="shared" si="5"/>
        <v>Low</v>
      </c>
      <c r="Q154">
        <v>8.8999999999999996E-2</v>
      </c>
      <c r="R154" s="25">
        <v>330</v>
      </c>
      <c r="S154">
        <v>0</v>
      </c>
      <c r="T154" s="5" t="s">
        <v>321</v>
      </c>
      <c r="U154" s="1" t="s">
        <v>322</v>
      </c>
      <c r="V154" s="1" t="s">
        <v>47</v>
      </c>
      <c r="W154" s="25" t="s">
        <v>43</v>
      </c>
      <c r="X154" s="25">
        <v>0.5</v>
      </c>
      <c r="Y154" t="s">
        <v>76</v>
      </c>
      <c r="Z154" s="25">
        <v>50</v>
      </c>
      <c r="AA154" s="25">
        <v>5</v>
      </c>
      <c r="AB154" s="25">
        <v>5</v>
      </c>
      <c r="AC154" s="25">
        <v>0</v>
      </c>
      <c r="AD154" s="25">
        <v>0</v>
      </c>
      <c r="AE154" s="29">
        <v>0.2</v>
      </c>
      <c r="AF154" s="25">
        <v>20</v>
      </c>
      <c r="AG154" s="25">
        <v>0</v>
      </c>
      <c r="AH154" s="25">
        <v>0</v>
      </c>
      <c r="AI154" s="25">
        <v>0</v>
      </c>
      <c r="AJ154" s="25">
        <v>0</v>
      </c>
      <c r="AK154" s="29">
        <v>8</v>
      </c>
      <c r="AL154">
        <v>25</v>
      </c>
      <c r="AM154" t="s">
        <v>323</v>
      </c>
      <c r="AN154" t="s">
        <v>67</v>
      </c>
    </row>
    <row r="155" spans="1:40">
      <c r="A155" s="4" t="s">
        <v>315</v>
      </c>
      <c r="B155">
        <v>1992</v>
      </c>
      <c r="C155">
        <v>43</v>
      </c>
      <c r="D155">
        <v>4</v>
      </c>
      <c r="E155">
        <v>6</v>
      </c>
      <c r="F155">
        <v>30</v>
      </c>
      <c r="G155">
        <v>1</v>
      </c>
      <c r="H155">
        <v>1</v>
      </c>
      <c r="I155" t="s">
        <v>316</v>
      </c>
      <c r="J155" t="s">
        <v>317</v>
      </c>
      <c r="K155" t="s">
        <v>334</v>
      </c>
      <c r="L155" t="s">
        <v>380</v>
      </c>
      <c r="M155" t="str">
        <f t="shared" si="4"/>
        <v>Vicia</v>
      </c>
      <c r="N155" s="7" t="s">
        <v>382</v>
      </c>
      <c r="O155" t="s">
        <v>43</v>
      </c>
      <c r="P155" t="str">
        <f t="shared" si="5"/>
        <v>Low</v>
      </c>
      <c r="Q155">
        <v>0</v>
      </c>
      <c r="R155" s="25">
        <v>330</v>
      </c>
      <c r="S155">
        <v>0</v>
      </c>
      <c r="T155" s="5" t="s">
        <v>321</v>
      </c>
      <c r="U155" s="1" t="s">
        <v>322</v>
      </c>
      <c r="V155" s="1" t="s">
        <v>47</v>
      </c>
      <c r="W155" s="25" t="s">
        <v>43</v>
      </c>
      <c r="X155" s="25">
        <v>0.5</v>
      </c>
      <c r="Y155" t="s">
        <v>76</v>
      </c>
      <c r="Z155" s="25">
        <v>50</v>
      </c>
      <c r="AA155" s="25">
        <v>5</v>
      </c>
      <c r="AB155" s="25">
        <v>5</v>
      </c>
      <c r="AC155" s="25">
        <v>0</v>
      </c>
      <c r="AD155" s="25">
        <v>0</v>
      </c>
      <c r="AE155" s="29">
        <v>0.2</v>
      </c>
      <c r="AF155" s="25">
        <v>20</v>
      </c>
      <c r="AG155" s="25">
        <v>0</v>
      </c>
      <c r="AH155" s="25">
        <v>0</v>
      </c>
      <c r="AI155" s="25">
        <v>0</v>
      </c>
      <c r="AJ155" s="25">
        <v>0</v>
      </c>
      <c r="AK155" s="29">
        <v>8</v>
      </c>
      <c r="AL155">
        <v>25</v>
      </c>
      <c r="AM155" t="s">
        <v>323</v>
      </c>
      <c r="AN155" t="s">
        <v>67</v>
      </c>
    </row>
    <row r="156" spans="1:40">
      <c r="A156" s="4" t="s">
        <v>315</v>
      </c>
      <c r="B156">
        <v>1992</v>
      </c>
      <c r="C156">
        <v>43</v>
      </c>
      <c r="D156">
        <v>4</v>
      </c>
      <c r="E156">
        <v>6</v>
      </c>
      <c r="F156">
        <v>30</v>
      </c>
      <c r="G156">
        <v>1</v>
      </c>
      <c r="H156">
        <v>2</v>
      </c>
      <c r="I156" t="s">
        <v>316</v>
      </c>
      <c r="J156" t="s">
        <v>317</v>
      </c>
      <c r="K156" t="s">
        <v>334</v>
      </c>
      <c r="L156" t="s">
        <v>380</v>
      </c>
      <c r="M156" t="str">
        <f t="shared" si="4"/>
        <v>Vicia</v>
      </c>
      <c r="N156" s="7" t="s">
        <v>383</v>
      </c>
      <c r="O156" t="s">
        <v>43</v>
      </c>
      <c r="P156" t="str">
        <f t="shared" si="5"/>
        <v>Low</v>
      </c>
      <c r="Q156">
        <v>6.6000000000000003E-2</v>
      </c>
      <c r="R156" s="25">
        <v>330</v>
      </c>
      <c r="S156">
        <v>0</v>
      </c>
      <c r="T156" s="5" t="s">
        <v>321</v>
      </c>
      <c r="U156" s="1" t="s">
        <v>322</v>
      </c>
      <c r="V156" s="1" t="s">
        <v>47</v>
      </c>
      <c r="W156" s="25" t="s">
        <v>43</v>
      </c>
      <c r="X156" s="25">
        <v>0.5</v>
      </c>
      <c r="Y156" t="s">
        <v>76</v>
      </c>
      <c r="Z156" s="25">
        <v>50</v>
      </c>
      <c r="AA156" s="25">
        <v>5</v>
      </c>
      <c r="AB156" s="25">
        <v>5</v>
      </c>
      <c r="AC156" s="25">
        <v>0</v>
      </c>
      <c r="AD156" s="25">
        <v>0</v>
      </c>
      <c r="AE156" s="29">
        <v>0.2</v>
      </c>
      <c r="AF156" s="25">
        <v>20</v>
      </c>
      <c r="AG156" s="25">
        <v>0</v>
      </c>
      <c r="AH156" s="25">
        <v>0</v>
      </c>
      <c r="AI156" s="25">
        <v>0</v>
      </c>
      <c r="AJ156" s="25">
        <v>0</v>
      </c>
      <c r="AK156" s="29">
        <v>8</v>
      </c>
      <c r="AL156">
        <v>25</v>
      </c>
      <c r="AM156" t="s">
        <v>323</v>
      </c>
      <c r="AN156" t="s">
        <v>67</v>
      </c>
    </row>
    <row r="157" spans="1:40">
      <c r="A157" s="4" t="s">
        <v>172</v>
      </c>
      <c r="B157">
        <v>1985</v>
      </c>
      <c r="C157">
        <v>43</v>
      </c>
      <c r="D157">
        <v>4</v>
      </c>
      <c r="E157">
        <v>6</v>
      </c>
      <c r="F157">
        <v>30</v>
      </c>
      <c r="G157">
        <v>1</v>
      </c>
      <c r="H157">
        <v>3</v>
      </c>
      <c r="I157" t="s">
        <v>316</v>
      </c>
      <c r="J157" t="s">
        <v>317</v>
      </c>
      <c r="K157" t="s">
        <v>334</v>
      </c>
      <c r="L157" t="s">
        <v>380</v>
      </c>
      <c r="M157" t="str">
        <f t="shared" si="4"/>
        <v>Vicia</v>
      </c>
      <c r="N157" s="7" t="s">
        <v>384</v>
      </c>
      <c r="O157" t="s">
        <v>43</v>
      </c>
      <c r="P157" t="str">
        <f t="shared" si="5"/>
        <v>Low</v>
      </c>
      <c r="Q157">
        <v>0</v>
      </c>
      <c r="R157" s="25">
        <v>1000</v>
      </c>
      <c r="S157">
        <v>0</v>
      </c>
      <c r="T157" s="5" t="s">
        <v>173</v>
      </c>
      <c r="U157" s="2" t="s">
        <v>88</v>
      </c>
      <c r="V157" s="1" t="s">
        <v>47</v>
      </c>
      <c r="W157" s="25">
        <v>10</v>
      </c>
      <c r="X157" s="25">
        <v>0.5</v>
      </c>
      <c r="Y157" t="s">
        <v>48</v>
      </c>
      <c r="Z157" s="25">
        <v>100</v>
      </c>
      <c r="AA157" s="25">
        <v>20</v>
      </c>
      <c r="AB157" s="25">
        <v>5</v>
      </c>
      <c r="AC157" s="25" t="s">
        <v>43</v>
      </c>
      <c r="AD157" s="25">
        <v>0.1</v>
      </c>
      <c r="AE157" s="29">
        <v>0.5</v>
      </c>
      <c r="AF157" s="25">
        <v>10</v>
      </c>
      <c r="AG157" s="25">
        <v>0</v>
      </c>
      <c r="AH157" s="25">
        <v>0</v>
      </c>
      <c r="AI157" s="25">
        <v>0</v>
      </c>
      <c r="AJ157" s="25">
        <v>0</v>
      </c>
      <c r="AK157" s="29">
        <v>7.8</v>
      </c>
      <c r="AL157">
        <v>25</v>
      </c>
      <c r="AM157" t="s">
        <v>43</v>
      </c>
      <c r="AN157" t="s">
        <v>67</v>
      </c>
    </row>
    <row r="158" spans="1:40">
      <c r="A158" s="4" t="s">
        <v>105</v>
      </c>
      <c r="B158">
        <v>1986</v>
      </c>
      <c r="C158">
        <v>43</v>
      </c>
      <c r="D158">
        <v>4</v>
      </c>
      <c r="E158">
        <v>6</v>
      </c>
      <c r="F158">
        <v>30</v>
      </c>
      <c r="G158">
        <v>1</v>
      </c>
      <c r="H158">
        <v>3</v>
      </c>
      <c r="I158" t="s">
        <v>316</v>
      </c>
      <c r="J158" t="s">
        <v>317</v>
      </c>
      <c r="K158" t="s">
        <v>334</v>
      </c>
      <c r="L158" t="s">
        <v>380</v>
      </c>
      <c r="M158" t="str">
        <f t="shared" si="4"/>
        <v>Vicia</v>
      </c>
      <c r="N158" s="7" t="s">
        <v>384</v>
      </c>
      <c r="O158" t="s">
        <v>43</v>
      </c>
      <c r="P158" t="str">
        <f t="shared" si="5"/>
        <v>Moderate</v>
      </c>
      <c r="Q158">
        <v>0.25</v>
      </c>
      <c r="R158" s="25">
        <v>1000</v>
      </c>
      <c r="S158">
        <v>10</v>
      </c>
      <c r="T158" s="5" t="s">
        <v>110</v>
      </c>
      <c r="U158" s="1" t="s">
        <v>111</v>
      </c>
      <c r="V158" s="1" t="s">
        <v>47</v>
      </c>
      <c r="W158" s="25">
        <v>10</v>
      </c>
      <c r="X158" s="25">
        <v>0.5</v>
      </c>
      <c r="Y158" t="s">
        <v>48</v>
      </c>
      <c r="Z158" s="25">
        <v>100</v>
      </c>
      <c r="AA158" s="25">
        <v>5</v>
      </c>
      <c r="AB158" s="25">
        <v>0</v>
      </c>
      <c r="AC158" s="25">
        <v>5</v>
      </c>
      <c r="AD158" s="25">
        <v>0</v>
      </c>
      <c r="AE158" s="29">
        <v>0.66</v>
      </c>
      <c r="AF158" s="25">
        <v>10</v>
      </c>
      <c r="AG158" s="25">
        <v>0</v>
      </c>
      <c r="AH158" s="25">
        <v>0</v>
      </c>
      <c r="AI158" s="25">
        <v>0</v>
      </c>
      <c r="AJ158" s="25">
        <v>0</v>
      </c>
      <c r="AK158" s="29">
        <v>8</v>
      </c>
      <c r="AL158">
        <v>25</v>
      </c>
      <c r="AM158" t="s">
        <v>43</v>
      </c>
      <c r="AN158" t="s">
        <v>67</v>
      </c>
    </row>
    <row r="159" spans="1:40">
      <c r="A159" s="4" t="s">
        <v>315</v>
      </c>
      <c r="B159">
        <v>1992</v>
      </c>
      <c r="C159">
        <v>43</v>
      </c>
      <c r="D159">
        <v>4</v>
      </c>
      <c r="E159">
        <v>6</v>
      </c>
      <c r="F159">
        <v>30</v>
      </c>
      <c r="G159">
        <v>1</v>
      </c>
      <c r="H159">
        <v>3</v>
      </c>
      <c r="I159" t="s">
        <v>316</v>
      </c>
      <c r="J159" t="s">
        <v>317</v>
      </c>
      <c r="K159" t="s">
        <v>334</v>
      </c>
      <c r="L159" t="s">
        <v>380</v>
      </c>
      <c r="M159" t="str">
        <f t="shared" si="4"/>
        <v>Vicia</v>
      </c>
      <c r="N159" s="7" t="s">
        <v>384</v>
      </c>
      <c r="O159" s="2" t="s">
        <v>385</v>
      </c>
      <c r="P159" t="str">
        <f t="shared" si="5"/>
        <v>Low</v>
      </c>
      <c r="Q159">
        <v>3.0000000000000001E-3</v>
      </c>
      <c r="R159" s="25">
        <v>330</v>
      </c>
      <c r="S159">
        <v>0</v>
      </c>
      <c r="T159" s="5" t="s">
        <v>321</v>
      </c>
      <c r="U159" s="1" t="s">
        <v>322</v>
      </c>
      <c r="V159" s="1" t="s">
        <v>47</v>
      </c>
      <c r="W159" s="25" t="s">
        <v>43</v>
      </c>
      <c r="X159" s="25">
        <v>0.5</v>
      </c>
      <c r="Y159" t="s">
        <v>76</v>
      </c>
      <c r="Z159" s="25">
        <v>50</v>
      </c>
      <c r="AA159" s="25">
        <v>5</v>
      </c>
      <c r="AB159" s="25">
        <v>5</v>
      </c>
      <c r="AC159" s="25">
        <v>0</v>
      </c>
      <c r="AD159" s="25">
        <v>0</v>
      </c>
      <c r="AE159" s="29">
        <v>0.2</v>
      </c>
      <c r="AF159" s="25">
        <v>20</v>
      </c>
      <c r="AG159" s="25">
        <v>0</v>
      </c>
      <c r="AH159" s="25">
        <v>0</v>
      </c>
      <c r="AI159" s="25">
        <v>0</v>
      </c>
      <c r="AJ159" s="25">
        <v>0</v>
      </c>
      <c r="AK159" s="29">
        <v>8</v>
      </c>
      <c r="AL159">
        <v>25</v>
      </c>
      <c r="AM159" t="s">
        <v>323</v>
      </c>
      <c r="AN159" t="s">
        <v>67</v>
      </c>
    </row>
    <row r="160" spans="1:40">
      <c r="A160" s="4" t="s">
        <v>315</v>
      </c>
      <c r="B160">
        <v>1992</v>
      </c>
      <c r="C160">
        <v>43</v>
      </c>
      <c r="D160">
        <v>4</v>
      </c>
      <c r="E160">
        <v>6</v>
      </c>
      <c r="F160">
        <v>30</v>
      </c>
      <c r="G160">
        <v>1</v>
      </c>
      <c r="H160">
        <v>3</v>
      </c>
      <c r="I160" t="s">
        <v>316</v>
      </c>
      <c r="J160" t="s">
        <v>317</v>
      </c>
      <c r="K160" t="s">
        <v>334</v>
      </c>
      <c r="L160" t="s">
        <v>380</v>
      </c>
      <c r="M160" t="str">
        <f t="shared" si="4"/>
        <v>Vicia</v>
      </c>
      <c r="N160" s="7" t="s">
        <v>384</v>
      </c>
      <c r="O160" s="2" t="s">
        <v>386</v>
      </c>
      <c r="P160" t="str">
        <f t="shared" si="5"/>
        <v>Low</v>
      </c>
      <c r="Q160">
        <v>4.9000000000000002E-2</v>
      </c>
      <c r="R160" s="25">
        <v>330</v>
      </c>
      <c r="S160">
        <v>0</v>
      </c>
      <c r="T160" s="5" t="s">
        <v>321</v>
      </c>
      <c r="U160" s="1" t="s">
        <v>322</v>
      </c>
      <c r="V160" s="1" t="s">
        <v>47</v>
      </c>
      <c r="W160" s="25" t="s">
        <v>43</v>
      </c>
      <c r="X160" s="25">
        <v>0.5</v>
      </c>
      <c r="Y160" t="s">
        <v>76</v>
      </c>
      <c r="Z160" s="25">
        <v>50</v>
      </c>
      <c r="AA160" s="25">
        <v>5</v>
      </c>
      <c r="AB160" s="25">
        <v>5</v>
      </c>
      <c r="AC160" s="25">
        <v>0</v>
      </c>
      <c r="AD160" s="25">
        <v>0</v>
      </c>
      <c r="AE160" s="29">
        <v>0.2</v>
      </c>
      <c r="AF160" s="25">
        <v>20</v>
      </c>
      <c r="AG160" s="25">
        <v>0</v>
      </c>
      <c r="AH160" s="25">
        <v>0</v>
      </c>
      <c r="AI160" s="25">
        <v>0</v>
      </c>
      <c r="AJ160" s="25">
        <v>0</v>
      </c>
      <c r="AK160" s="29">
        <v>8</v>
      </c>
      <c r="AL160">
        <v>25</v>
      </c>
      <c r="AM160" t="s">
        <v>323</v>
      </c>
      <c r="AN160" t="s">
        <v>67</v>
      </c>
    </row>
    <row r="161" spans="1:40">
      <c r="A161" s="4" t="s">
        <v>315</v>
      </c>
      <c r="B161">
        <v>1992</v>
      </c>
      <c r="C161">
        <v>43</v>
      </c>
      <c r="D161">
        <v>4</v>
      </c>
      <c r="E161">
        <v>6</v>
      </c>
      <c r="F161">
        <v>30</v>
      </c>
      <c r="G161">
        <v>1</v>
      </c>
      <c r="H161">
        <v>4</v>
      </c>
      <c r="I161" t="s">
        <v>316</v>
      </c>
      <c r="J161" t="s">
        <v>317</v>
      </c>
      <c r="K161" t="s">
        <v>334</v>
      </c>
      <c r="L161" t="s">
        <v>380</v>
      </c>
      <c r="M161" t="str">
        <f t="shared" si="4"/>
        <v>Vicia</v>
      </c>
      <c r="N161" s="7" t="s">
        <v>387</v>
      </c>
      <c r="O161" t="s">
        <v>43</v>
      </c>
      <c r="P161" t="str">
        <f t="shared" si="5"/>
        <v>Low</v>
      </c>
      <c r="Q161">
        <v>0.03</v>
      </c>
      <c r="R161" s="25">
        <v>330</v>
      </c>
      <c r="S161">
        <v>0</v>
      </c>
      <c r="T161" s="5" t="s">
        <v>321</v>
      </c>
      <c r="U161" s="1" t="s">
        <v>322</v>
      </c>
      <c r="V161" s="1" t="s">
        <v>47</v>
      </c>
      <c r="W161" s="25" t="s">
        <v>43</v>
      </c>
      <c r="X161" s="25">
        <v>0.5</v>
      </c>
      <c r="Y161" t="s">
        <v>76</v>
      </c>
      <c r="Z161" s="25">
        <v>50</v>
      </c>
      <c r="AA161" s="25">
        <v>5</v>
      </c>
      <c r="AB161" s="25">
        <v>5</v>
      </c>
      <c r="AC161" s="25">
        <v>0</v>
      </c>
      <c r="AD161" s="25">
        <v>0</v>
      </c>
      <c r="AE161" s="29">
        <v>0.2</v>
      </c>
      <c r="AF161" s="25">
        <v>20</v>
      </c>
      <c r="AG161" s="25">
        <v>0</v>
      </c>
      <c r="AH161" s="25">
        <v>0</v>
      </c>
      <c r="AI161" s="25">
        <v>0</v>
      </c>
      <c r="AJ161" s="25">
        <v>0</v>
      </c>
      <c r="AK161" s="29">
        <v>8</v>
      </c>
      <c r="AL161">
        <v>25</v>
      </c>
      <c r="AM161" t="s">
        <v>323</v>
      </c>
      <c r="AN161" t="s">
        <v>67</v>
      </c>
    </row>
    <row r="162" spans="1:40" ht="14.45">
      <c r="A162" s="4" t="s">
        <v>172</v>
      </c>
      <c r="B162">
        <v>1985</v>
      </c>
      <c r="C162">
        <v>43</v>
      </c>
      <c r="D162">
        <v>4</v>
      </c>
      <c r="E162">
        <v>6</v>
      </c>
      <c r="F162">
        <v>30</v>
      </c>
      <c r="G162">
        <v>2</v>
      </c>
      <c r="H162">
        <v>0</v>
      </c>
      <c r="I162" t="s">
        <v>316</v>
      </c>
      <c r="J162" t="s">
        <v>317</v>
      </c>
      <c r="K162" t="s">
        <v>334</v>
      </c>
      <c r="L162" t="s">
        <v>380</v>
      </c>
      <c r="M162" t="str">
        <f t="shared" si="4"/>
        <v>Lens</v>
      </c>
      <c r="N162" s="7" t="s">
        <v>388</v>
      </c>
      <c r="O162" t="s">
        <v>43</v>
      </c>
      <c r="P162" t="str">
        <f t="shared" si="5"/>
        <v>Low</v>
      </c>
      <c r="Q162">
        <v>0</v>
      </c>
      <c r="R162" s="25">
        <v>1000</v>
      </c>
      <c r="S162">
        <v>0</v>
      </c>
      <c r="T162" s="5" t="s">
        <v>173</v>
      </c>
      <c r="U162" s="2" t="s">
        <v>88</v>
      </c>
      <c r="V162" s="1" t="s">
        <v>47</v>
      </c>
      <c r="W162" s="25">
        <v>10</v>
      </c>
      <c r="X162" s="25">
        <v>0.5</v>
      </c>
      <c r="Y162" t="s">
        <v>48</v>
      </c>
      <c r="Z162" s="25">
        <v>100</v>
      </c>
      <c r="AA162" s="25">
        <v>20</v>
      </c>
      <c r="AB162" s="25">
        <v>5</v>
      </c>
      <c r="AC162" s="25" t="s">
        <v>43</v>
      </c>
      <c r="AD162" s="25">
        <v>0.1</v>
      </c>
      <c r="AE162" s="29">
        <v>0.5</v>
      </c>
      <c r="AF162" s="25">
        <v>10</v>
      </c>
      <c r="AG162" s="25">
        <v>0</v>
      </c>
      <c r="AH162" s="25">
        <v>0</v>
      </c>
      <c r="AI162" s="25">
        <v>0</v>
      </c>
      <c r="AJ162" s="25">
        <v>0</v>
      </c>
      <c r="AK162" s="29">
        <v>7.8</v>
      </c>
      <c r="AL162">
        <v>25</v>
      </c>
      <c r="AM162" t="s">
        <v>43</v>
      </c>
      <c r="AN162" t="s">
        <v>67</v>
      </c>
    </row>
    <row r="163" spans="1:40">
      <c r="A163" s="4" t="s">
        <v>315</v>
      </c>
      <c r="B163">
        <v>1992</v>
      </c>
      <c r="C163">
        <v>43</v>
      </c>
      <c r="D163">
        <v>4</v>
      </c>
      <c r="E163">
        <v>6</v>
      </c>
      <c r="F163">
        <v>30</v>
      </c>
      <c r="G163">
        <v>2</v>
      </c>
      <c r="H163">
        <v>0</v>
      </c>
      <c r="I163" t="s">
        <v>316</v>
      </c>
      <c r="J163" t="s">
        <v>317</v>
      </c>
      <c r="K163" t="s">
        <v>334</v>
      </c>
      <c r="L163" t="s">
        <v>380</v>
      </c>
      <c r="M163" t="str">
        <f t="shared" si="4"/>
        <v>Lens</v>
      </c>
      <c r="N163" s="7" t="s">
        <v>388</v>
      </c>
      <c r="O163" s="2" t="s">
        <v>389</v>
      </c>
      <c r="P163" t="str">
        <f t="shared" si="5"/>
        <v>Low</v>
      </c>
      <c r="Q163">
        <v>1.4E-2</v>
      </c>
      <c r="R163" s="25">
        <v>330</v>
      </c>
      <c r="S163">
        <v>0</v>
      </c>
      <c r="T163" s="5" t="s">
        <v>321</v>
      </c>
      <c r="U163" s="1" t="s">
        <v>322</v>
      </c>
      <c r="V163" s="1" t="s">
        <v>47</v>
      </c>
      <c r="W163" s="25" t="s">
        <v>43</v>
      </c>
      <c r="X163" s="25">
        <v>0.5</v>
      </c>
      <c r="Y163" t="s">
        <v>76</v>
      </c>
      <c r="Z163" s="25">
        <v>50</v>
      </c>
      <c r="AA163" s="25">
        <v>5</v>
      </c>
      <c r="AB163" s="25">
        <v>5</v>
      </c>
      <c r="AC163" s="25">
        <v>0</v>
      </c>
      <c r="AD163" s="25">
        <v>0</v>
      </c>
      <c r="AE163" s="29">
        <v>0.2</v>
      </c>
      <c r="AF163" s="25">
        <v>20</v>
      </c>
      <c r="AG163" s="25">
        <v>0</v>
      </c>
      <c r="AH163" s="25">
        <v>0</v>
      </c>
      <c r="AI163" s="25">
        <v>0</v>
      </c>
      <c r="AJ163" s="25">
        <v>0</v>
      </c>
      <c r="AK163" s="29">
        <v>8</v>
      </c>
      <c r="AL163">
        <v>25</v>
      </c>
      <c r="AM163" t="s">
        <v>323</v>
      </c>
      <c r="AN163" t="s">
        <v>67</v>
      </c>
    </row>
    <row r="164" spans="1:40">
      <c r="A164" s="4" t="s">
        <v>315</v>
      </c>
      <c r="B164">
        <v>1992</v>
      </c>
      <c r="C164">
        <v>43</v>
      </c>
      <c r="D164">
        <v>4</v>
      </c>
      <c r="E164">
        <v>6</v>
      </c>
      <c r="F164">
        <v>30</v>
      </c>
      <c r="G164">
        <v>2</v>
      </c>
      <c r="H164">
        <v>0</v>
      </c>
      <c r="I164" t="s">
        <v>316</v>
      </c>
      <c r="J164" t="s">
        <v>317</v>
      </c>
      <c r="K164" t="s">
        <v>334</v>
      </c>
      <c r="L164" t="s">
        <v>380</v>
      </c>
      <c r="M164" t="str">
        <f t="shared" si="4"/>
        <v>Lens</v>
      </c>
      <c r="N164" s="7" t="s">
        <v>388</v>
      </c>
      <c r="O164" s="2" t="s">
        <v>390</v>
      </c>
      <c r="P164" t="str">
        <f t="shared" si="5"/>
        <v>Low</v>
      </c>
      <c r="Q164">
        <v>0</v>
      </c>
      <c r="R164" s="25">
        <v>330</v>
      </c>
      <c r="S164">
        <v>0</v>
      </c>
      <c r="T164" s="5" t="s">
        <v>321</v>
      </c>
      <c r="U164" s="1" t="s">
        <v>322</v>
      </c>
      <c r="V164" s="1" t="s">
        <v>47</v>
      </c>
      <c r="W164" s="25" t="s">
        <v>43</v>
      </c>
      <c r="X164" s="25">
        <v>0.5</v>
      </c>
      <c r="Y164" t="s">
        <v>76</v>
      </c>
      <c r="Z164" s="25">
        <v>50</v>
      </c>
      <c r="AA164" s="25">
        <v>5</v>
      </c>
      <c r="AB164" s="25">
        <v>5</v>
      </c>
      <c r="AC164" s="25">
        <v>0</v>
      </c>
      <c r="AD164" s="25">
        <v>0</v>
      </c>
      <c r="AE164" s="29">
        <v>0.2</v>
      </c>
      <c r="AF164" s="25">
        <v>20</v>
      </c>
      <c r="AG164" s="25">
        <v>0</v>
      </c>
      <c r="AH164" s="25">
        <v>0</v>
      </c>
      <c r="AI164" s="25">
        <v>0</v>
      </c>
      <c r="AJ164" s="25">
        <v>0</v>
      </c>
      <c r="AK164" s="29">
        <v>8</v>
      </c>
      <c r="AL164">
        <v>25</v>
      </c>
      <c r="AM164" t="s">
        <v>323</v>
      </c>
      <c r="AN164" t="s">
        <v>67</v>
      </c>
    </row>
    <row r="165" spans="1:40">
      <c r="A165" s="4" t="s">
        <v>315</v>
      </c>
      <c r="B165">
        <v>1992</v>
      </c>
      <c r="C165">
        <v>43</v>
      </c>
      <c r="D165">
        <v>4</v>
      </c>
      <c r="E165">
        <v>6</v>
      </c>
      <c r="F165">
        <v>30</v>
      </c>
      <c r="G165">
        <v>2</v>
      </c>
      <c r="H165">
        <v>0</v>
      </c>
      <c r="I165" t="s">
        <v>316</v>
      </c>
      <c r="J165" t="s">
        <v>317</v>
      </c>
      <c r="K165" t="s">
        <v>334</v>
      </c>
      <c r="L165" t="s">
        <v>380</v>
      </c>
      <c r="M165" t="str">
        <f t="shared" si="4"/>
        <v>Lens</v>
      </c>
      <c r="N165" s="7" t="s">
        <v>388</v>
      </c>
      <c r="O165" t="s">
        <v>43</v>
      </c>
      <c r="P165" t="str">
        <f t="shared" si="5"/>
        <v>Low</v>
      </c>
      <c r="Q165">
        <v>0</v>
      </c>
      <c r="R165" s="25">
        <v>330</v>
      </c>
      <c r="S165">
        <v>0</v>
      </c>
      <c r="T165" s="5" t="s">
        <v>321</v>
      </c>
      <c r="U165" s="1" t="s">
        <v>322</v>
      </c>
      <c r="V165" s="1" t="s">
        <v>47</v>
      </c>
      <c r="W165" s="25" t="s">
        <v>43</v>
      </c>
      <c r="X165" s="25">
        <v>0.5</v>
      </c>
      <c r="Y165" t="s">
        <v>76</v>
      </c>
      <c r="Z165" s="25">
        <v>50</v>
      </c>
      <c r="AA165" s="25">
        <v>5</v>
      </c>
      <c r="AB165" s="25">
        <v>5</v>
      </c>
      <c r="AC165" s="25">
        <v>0</v>
      </c>
      <c r="AD165" s="25">
        <v>0</v>
      </c>
      <c r="AE165" s="29">
        <v>0.2</v>
      </c>
      <c r="AF165" s="25">
        <v>20</v>
      </c>
      <c r="AG165" s="25">
        <v>0</v>
      </c>
      <c r="AH165" s="25">
        <v>0</v>
      </c>
      <c r="AI165" s="25">
        <v>0</v>
      </c>
      <c r="AJ165" s="25">
        <v>0</v>
      </c>
      <c r="AK165" s="29">
        <v>8</v>
      </c>
      <c r="AL165">
        <v>25</v>
      </c>
      <c r="AM165" t="s">
        <v>323</v>
      </c>
      <c r="AN165" t="s">
        <v>67</v>
      </c>
    </row>
    <row r="166" spans="1:40">
      <c r="A166" s="4" t="s">
        <v>315</v>
      </c>
      <c r="B166">
        <v>1992</v>
      </c>
      <c r="C166">
        <v>43</v>
      </c>
      <c r="D166">
        <v>4</v>
      </c>
      <c r="E166">
        <v>6</v>
      </c>
      <c r="F166">
        <v>30</v>
      </c>
      <c r="G166">
        <v>2</v>
      </c>
      <c r="H166">
        <v>0</v>
      </c>
      <c r="I166" t="s">
        <v>316</v>
      </c>
      <c r="J166" t="s">
        <v>317</v>
      </c>
      <c r="K166" t="s">
        <v>334</v>
      </c>
      <c r="L166" t="s">
        <v>380</v>
      </c>
      <c r="M166" t="str">
        <f t="shared" si="4"/>
        <v>Lens</v>
      </c>
      <c r="N166" s="7" t="s">
        <v>388</v>
      </c>
      <c r="O166" t="s">
        <v>43</v>
      </c>
      <c r="P166" t="str">
        <f t="shared" si="5"/>
        <v>Low</v>
      </c>
      <c r="Q166">
        <v>0</v>
      </c>
      <c r="R166" s="25">
        <v>330</v>
      </c>
      <c r="S166">
        <v>0</v>
      </c>
      <c r="T166" s="5" t="s">
        <v>321</v>
      </c>
      <c r="U166" s="1" t="s">
        <v>322</v>
      </c>
      <c r="V166" s="1" t="s">
        <v>47</v>
      </c>
      <c r="W166" s="25" t="s">
        <v>43</v>
      </c>
      <c r="X166" s="25">
        <v>0.5</v>
      </c>
      <c r="Y166" t="s">
        <v>76</v>
      </c>
      <c r="Z166" s="25">
        <v>50</v>
      </c>
      <c r="AA166" s="25">
        <v>5</v>
      </c>
      <c r="AB166" s="25">
        <v>5</v>
      </c>
      <c r="AC166" s="25">
        <v>0</v>
      </c>
      <c r="AD166" s="25">
        <v>0</v>
      </c>
      <c r="AE166" s="29">
        <v>0.2</v>
      </c>
      <c r="AF166" s="25">
        <v>20</v>
      </c>
      <c r="AG166" s="25">
        <v>0</v>
      </c>
      <c r="AH166" s="25">
        <v>0</v>
      </c>
      <c r="AI166" s="25">
        <v>0</v>
      </c>
      <c r="AJ166" s="25">
        <v>0</v>
      </c>
      <c r="AK166" s="29">
        <v>8</v>
      </c>
      <c r="AL166">
        <v>25</v>
      </c>
      <c r="AM166" t="s">
        <v>323</v>
      </c>
      <c r="AN166" t="s">
        <v>67</v>
      </c>
    </row>
    <row r="167" spans="1:40">
      <c r="A167" s="4" t="s">
        <v>172</v>
      </c>
      <c r="B167">
        <v>1985</v>
      </c>
      <c r="C167">
        <v>43</v>
      </c>
      <c r="D167">
        <v>4</v>
      </c>
      <c r="E167">
        <v>6</v>
      </c>
      <c r="F167">
        <v>30</v>
      </c>
      <c r="G167">
        <v>3</v>
      </c>
      <c r="H167">
        <v>0</v>
      </c>
      <c r="I167" t="s">
        <v>316</v>
      </c>
      <c r="J167" t="s">
        <v>317</v>
      </c>
      <c r="K167" t="s">
        <v>334</v>
      </c>
      <c r="L167" t="s">
        <v>380</v>
      </c>
      <c r="M167" t="str">
        <f t="shared" si="4"/>
        <v>Lathyrus</v>
      </c>
      <c r="N167" s="7" t="s">
        <v>391</v>
      </c>
      <c r="O167" t="s">
        <v>43</v>
      </c>
      <c r="P167" t="str">
        <f t="shared" si="5"/>
        <v>Low</v>
      </c>
      <c r="Q167">
        <v>0</v>
      </c>
      <c r="R167" s="25">
        <v>1000</v>
      </c>
      <c r="S167">
        <v>0</v>
      </c>
      <c r="T167" s="5" t="s">
        <v>173</v>
      </c>
      <c r="U167" s="2" t="s">
        <v>88</v>
      </c>
      <c r="V167" s="1" t="s">
        <v>47</v>
      </c>
      <c r="W167" s="25">
        <v>10</v>
      </c>
      <c r="X167" s="25">
        <v>0.5</v>
      </c>
      <c r="Y167" t="s">
        <v>48</v>
      </c>
      <c r="Z167" s="25">
        <v>100</v>
      </c>
      <c r="AA167" s="25">
        <v>20</v>
      </c>
      <c r="AB167" s="25">
        <v>5</v>
      </c>
      <c r="AC167" s="25" t="s">
        <v>43</v>
      </c>
      <c r="AD167" s="25">
        <v>0.1</v>
      </c>
      <c r="AE167" s="29">
        <v>0.5</v>
      </c>
      <c r="AF167" s="25">
        <v>10</v>
      </c>
      <c r="AG167" s="25">
        <v>0</v>
      </c>
      <c r="AH167" s="25">
        <v>0</v>
      </c>
      <c r="AI167" s="25">
        <v>0</v>
      </c>
      <c r="AJ167" s="25">
        <v>0</v>
      </c>
      <c r="AK167" s="29">
        <v>7.8</v>
      </c>
      <c r="AL167">
        <v>25</v>
      </c>
      <c r="AM167" t="s">
        <v>43</v>
      </c>
      <c r="AN167" t="s">
        <v>67</v>
      </c>
    </row>
    <row r="168" spans="1:40">
      <c r="A168" s="4" t="s">
        <v>315</v>
      </c>
      <c r="B168">
        <v>1992</v>
      </c>
      <c r="C168">
        <v>43</v>
      </c>
      <c r="D168">
        <v>4</v>
      </c>
      <c r="E168">
        <v>6</v>
      </c>
      <c r="F168">
        <v>30</v>
      </c>
      <c r="G168">
        <v>3</v>
      </c>
      <c r="H168">
        <v>0</v>
      </c>
      <c r="I168" t="s">
        <v>316</v>
      </c>
      <c r="J168" t="s">
        <v>317</v>
      </c>
      <c r="K168" t="s">
        <v>334</v>
      </c>
      <c r="L168" t="s">
        <v>380</v>
      </c>
      <c r="M168" t="str">
        <f t="shared" si="4"/>
        <v>Lathyrus</v>
      </c>
      <c r="N168" s="7" t="s">
        <v>392</v>
      </c>
      <c r="O168" t="s">
        <v>43</v>
      </c>
      <c r="P168" t="str">
        <f t="shared" si="5"/>
        <v>Low</v>
      </c>
      <c r="Q168">
        <v>0</v>
      </c>
      <c r="R168" s="25">
        <v>330</v>
      </c>
      <c r="S168">
        <v>0</v>
      </c>
      <c r="T168" s="5" t="s">
        <v>321</v>
      </c>
      <c r="U168" s="1" t="s">
        <v>322</v>
      </c>
      <c r="V168" s="1" t="s">
        <v>47</v>
      </c>
      <c r="W168" s="25" t="s">
        <v>43</v>
      </c>
      <c r="X168" s="25">
        <v>0.5</v>
      </c>
      <c r="Y168" t="s">
        <v>76</v>
      </c>
      <c r="Z168" s="25">
        <v>50</v>
      </c>
      <c r="AA168" s="25">
        <v>5</v>
      </c>
      <c r="AB168" s="25">
        <v>5</v>
      </c>
      <c r="AC168" s="25">
        <v>0</v>
      </c>
      <c r="AD168" s="25">
        <v>0</v>
      </c>
      <c r="AE168" s="29">
        <v>0.2</v>
      </c>
      <c r="AF168" s="25">
        <v>20</v>
      </c>
      <c r="AG168" s="25">
        <v>0</v>
      </c>
      <c r="AH168" s="25">
        <v>0</v>
      </c>
      <c r="AI168" s="25">
        <v>0</v>
      </c>
      <c r="AJ168" s="25">
        <v>0</v>
      </c>
      <c r="AK168" s="29">
        <v>8</v>
      </c>
      <c r="AL168">
        <v>25</v>
      </c>
      <c r="AM168" t="s">
        <v>323</v>
      </c>
      <c r="AN168" t="s">
        <v>67</v>
      </c>
    </row>
    <row r="169" spans="1:40">
      <c r="A169" s="4" t="s">
        <v>315</v>
      </c>
      <c r="B169">
        <v>1992</v>
      </c>
      <c r="C169">
        <v>43</v>
      </c>
      <c r="D169">
        <v>4</v>
      </c>
      <c r="E169">
        <v>6</v>
      </c>
      <c r="F169">
        <v>30</v>
      </c>
      <c r="G169">
        <v>3</v>
      </c>
      <c r="H169">
        <v>0</v>
      </c>
      <c r="I169" t="s">
        <v>316</v>
      </c>
      <c r="J169" t="s">
        <v>317</v>
      </c>
      <c r="K169" t="s">
        <v>334</v>
      </c>
      <c r="L169" t="s">
        <v>380</v>
      </c>
      <c r="M169" t="str">
        <f t="shared" si="4"/>
        <v>Lathyrus</v>
      </c>
      <c r="N169" s="7" t="s">
        <v>392</v>
      </c>
      <c r="O169" t="s">
        <v>43</v>
      </c>
      <c r="P169" t="str">
        <f t="shared" si="5"/>
        <v>Low</v>
      </c>
      <c r="Q169">
        <v>0</v>
      </c>
      <c r="R169" s="25">
        <v>330</v>
      </c>
      <c r="S169">
        <v>0</v>
      </c>
      <c r="T169" s="5" t="s">
        <v>321</v>
      </c>
      <c r="U169" s="1" t="s">
        <v>322</v>
      </c>
      <c r="V169" s="1" t="s">
        <v>47</v>
      </c>
      <c r="W169" s="25" t="s">
        <v>43</v>
      </c>
      <c r="X169" s="25">
        <v>0.5</v>
      </c>
      <c r="Y169" t="s">
        <v>76</v>
      </c>
      <c r="Z169" s="25">
        <v>50</v>
      </c>
      <c r="AA169" s="25">
        <v>5</v>
      </c>
      <c r="AB169" s="25">
        <v>5</v>
      </c>
      <c r="AC169" s="25">
        <v>0</v>
      </c>
      <c r="AD169" s="25">
        <v>0</v>
      </c>
      <c r="AE169" s="29">
        <v>0.2</v>
      </c>
      <c r="AF169" s="25">
        <v>20</v>
      </c>
      <c r="AG169" s="25">
        <v>0</v>
      </c>
      <c r="AH169" s="25">
        <v>0</v>
      </c>
      <c r="AI169" s="25">
        <v>0</v>
      </c>
      <c r="AJ169" s="25">
        <v>0</v>
      </c>
      <c r="AK169" s="29">
        <v>8</v>
      </c>
      <c r="AL169">
        <v>25</v>
      </c>
      <c r="AM169" t="s">
        <v>323</v>
      </c>
      <c r="AN169" t="s">
        <v>67</v>
      </c>
    </row>
    <row r="170" spans="1:40">
      <c r="A170" s="4" t="s">
        <v>315</v>
      </c>
      <c r="B170">
        <v>1992</v>
      </c>
      <c r="C170">
        <v>43</v>
      </c>
      <c r="D170">
        <v>4</v>
      </c>
      <c r="E170">
        <v>6</v>
      </c>
      <c r="F170">
        <v>30</v>
      </c>
      <c r="G170">
        <v>3</v>
      </c>
      <c r="H170">
        <v>0</v>
      </c>
      <c r="I170" t="s">
        <v>316</v>
      </c>
      <c r="J170" t="s">
        <v>317</v>
      </c>
      <c r="K170" t="s">
        <v>334</v>
      </c>
      <c r="L170" t="s">
        <v>380</v>
      </c>
      <c r="M170" t="str">
        <f t="shared" si="4"/>
        <v>Lathyrus</v>
      </c>
      <c r="N170" s="7" t="s">
        <v>392</v>
      </c>
      <c r="O170" s="2" t="s">
        <v>393</v>
      </c>
      <c r="P170" t="str">
        <f t="shared" si="5"/>
        <v>Low</v>
      </c>
      <c r="Q170">
        <v>1.9E-2</v>
      </c>
      <c r="R170" s="25">
        <v>330</v>
      </c>
      <c r="S170">
        <v>0</v>
      </c>
      <c r="T170" s="5" t="s">
        <v>321</v>
      </c>
      <c r="U170" s="1" t="s">
        <v>322</v>
      </c>
      <c r="V170" s="1" t="s">
        <v>47</v>
      </c>
      <c r="W170" s="25" t="s">
        <v>43</v>
      </c>
      <c r="X170" s="25">
        <v>0.5</v>
      </c>
      <c r="Y170" t="s">
        <v>76</v>
      </c>
      <c r="Z170" s="25">
        <v>50</v>
      </c>
      <c r="AA170" s="25">
        <v>5</v>
      </c>
      <c r="AB170" s="25">
        <v>5</v>
      </c>
      <c r="AC170" s="25">
        <v>0</v>
      </c>
      <c r="AD170" s="25">
        <v>0</v>
      </c>
      <c r="AE170" s="29">
        <v>0.2</v>
      </c>
      <c r="AF170" s="25">
        <v>20</v>
      </c>
      <c r="AG170" s="25">
        <v>0</v>
      </c>
      <c r="AH170" s="25">
        <v>0</v>
      </c>
      <c r="AI170" s="25">
        <v>0</v>
      </c>
      <c r="AJ170" s="25">
        <v>0</v>
      </c>
      <c r="AK170" s="29">
        <v>8</v>
      </c>
      <c r="AL170">
        <v>25</v>
      </c>
      <c r="AM170" t="s">
        <v>323</v>
      </c>
      <c r="AN170" t="s">
        <v>67</v>
      </c>
    </row>
    <row r="171" spans="1:40">
      <c r="A171" s="4" t="s">
        <v>315</v>
      </c>
      <c r="B171">
        <v>1992</v>
      </c>
      <c r="C171">
        <v>43</v>
      </c>
      <c r="D171">
        <v>4</v>
      </c>
      <c r="E171">
        <v>6</v>
      </c>
      <c r="F171">
        <v>30</v>
      </c>
      <c r="G171">
        <v>5</v>
      </c>
      <c r="H171">
        <v>1</v>
      </c>
      <c r="I171" t="s">
        <v>316</v>
      </c>
      <c r="J171" t="s">
        <v>317</v>
      </c>
      <c r="K171" t="s">
        <v>334</v>
      </c>
      <c r="L171" t="s">
        <v>380</v>
      </c>
      <c r="M171" t="str">
        <f t="shared" si="4"/>
        <v>Pisum</v>
      </c>
      <c r="N171" s="7" t="s">
        <v>394</v>
      </c>
      <c r="O171" s="2">
        <v>708</v>
      </c>
      <c r="P171" t="str">
        <f t="shared" si="5"/>
        <v>Low</v>
      </c>
      <c r="Q171">
        <v>0</v>
      </c>
      <c r="R171" s="25">
        <v>330</v>
      </c>
      <c r="S171">
        <v>0</v>
      </c>
      <c r="T171" s="5" t="s">
        <v>321</v>
      </c>
      <c r="U171" s="1" t="s">
        <v>322</v>
      </c>
      <c r="V171" s="1" t="s">
        <v>47</v>
      </c>
      <c r="W171" s="25" t="s">
        <v>43</v>
      </c>
      <c r="X171" s="25">
        <v>0.5</v>
      </c>
      <c r="Y171" t="s">
        <v>76</v>
      </c>
      <c r="Z171" s="25">
        <v>50</v>
      </c>
      <c r="AA171" s="25">
        <v>5</v>
      </c>
      <c r="AB171" s="25">
        <v>5</v>
      </c>
      <c r="AC171" s="25">
        <v>0</v>
      </c>
      <c r="AD171" s="25">
        <v>0</v>
      </c>
      <c r="AE171" s="29">
        <v>0.2</v>
      </c>
      <c r="AF171" s="25">
        <v>20</v>
      </c>
      <c r="AG171" s="25">
        <v>0</v>
      </c>
      <c r="AH171" s="25">
        <v>0</v>
      </c>
      <c r="AI171" s="25">
        <v>0</v>
      </c>
      <c r="AJ171" s="25">
        <v>0</v>
      </c>
      <c r="AK171" s="29">
        <v>8</v>
      </c>
      <c r="AL171">
        <v>25</v>
      </c>
      <c r="AM171" t="s">
        <v>323</v>
      </c>
      <c r="AN171" t="s">
        <v>67</v>
      </c>
    </row>
    <row r="172" spans="1:40">
      <c r="A172" s="4" t="s">
        <v>315</v>
      </c>
      <c r="B172">
        <v>1992</v>
      </c>
      <c r="C172">
        <v>43</v>
      </c>
      <c r="D172">
        <v>4</v>
      </c>
      <c r="E172">
        <v>6</v>
      </c>
      <c r="F172">
        <v>30</v>
      </c>
      <c r="G172">
        <v>5</v>
      </c>
      <c r="H172">
        <v>2</v>
      </c>
      <c r="I172" t="s">
        <v>316</v>
      </c>
      <c r="J172" t="s">
        <v>317</v>
      </c>
      <c r="K172" t="s">
        <v>334</v>
      </c>
      <c r="L172" t="s">
        <v>380</v>
      </c>
      <c r="M172" t="str">
        <f t="shared" si="4"/>
        <v>Pisum</v>
      </c>
      <c r="N172" s="7" t="s">
        <v>395</v>
      </c>
      <c r="O172" s="2">
        <v>721</v>
      </c>
      <c r="P172" t="str">
        <f t="shared" si="5"/>
        <v>Low</v>
      </c>
      <c r="Q172">
        <v>0</v>
      </c>
      <c r="R172" s="25">
        <v>330</v>
      </c>
      <c r="S172">
        <v>0</v>
      </c>
      <c r="T172" s="5" t="s">
        <v>321</v>
      </c>
      <c r="U172" s="1" t="s">
        <v>322</v>
      </c>
      <c r="V172" s="1" t="s">
        <v>47</v>
      </c>
      <c r="W172" s="25" t="s">
        <v>43</v>
      </c>
      <c r="X172" s="25">
        <v>0.5</v>
      </c>
      <c r="Y172" t="s">
        <v>76</v>
      </c>
      <c r="Z172" s="25">
        <v>50</v>
      </c>
      <c r="AA172" s="25">
        <v>5</v>
      </c>
      <c r="AB172" s="25">
        <v>5</v>
      </c>
      <c r="AC172" s="25">
        <v>0</v>
      </c>
      <c r="AD172" s="25">
        <v>0</v>
      </c>
      <c r="AE172" s="29">
        <v>0.2</v>
      </c>
      <c r="AF172" s="25">
        <v>20</v>
      </c>
      <c r="AG172" s="25">
        <v>0</v>
      </c>
      <c r="AH172" s="25">
        <v>0</v>
      </c>
      <c r="AI172" s="25">
        <v>0</v>
      </c>
      <c r="AJ172" s="25">
        <v>0</v>
      </c>
      <c r="AK172" s="29">
        <v>8</v>
      </c>
      <c r="AL172">
        <v>25</v>
      </c>
      <c r="AM172" t="s">
        <v>323</v>
      </c>
      <c r="AN172" t="s">
        <v>67</v>
      </c>
    </row>
    <row r="173" spans="1:40">
      <c r="A173" s="4" t="s">
        <v>315</v>
      </c>
      <c r="B173">
        <v>1992</v>
      </c>
      <c r="C173">
        <v>43</v>
      </c>
      <c r="D173">
        <v>4</v>
      </c>
      <c r="E173">
        <v>6</v>
      </c>
      <c r="F173">
        <v>30</v>
      </c>
      <c r="G173">
        <v>5</v>
      </c>
      <c r="H173">
        <v>2</v>
      </c>
      <c r="I173" t="s">
        <v>316</v>
      </c>
      <c r="J173" t="s">
        <v>317</v>
      </c>
      <c r="K173" t="s">
        <v>334</v>
      </c>
      <c r="L173" t="s">
        <v>380</v>
      </c>
      <c r="M173" t="str">
        <f t="shared" si="4"/>
        <v>Pisum</v>
      </c>
      <c r="N173" s="7" t="s">
        <v>395</v>
      </c>
      <c r="O173" s="2">
        <v>723</v>
      </c>
      <c r="P173" t="str">
        <f t="shared" si="5"/>
        <v>Low</v>
      </c>
      <c r="Q173">
        <v>0</v>
      </c>
      <c r="R173" s="25">
        <v>330</v>
      </c>
      <c r="S173">
        <v>0</v>
      </c>
      <c r="T173" s="5" t="s">
        <v>321</v>
      </c>
      <c r="U173" s="1" t="s">
        <v>322</v>
      </c>
      <c r="V173" s="1" t="s">
        <v>47</v>
      </c>
      <c r="W173" s="25" t="s">
        <v>43</v>
      </c>
      <c r="X173" s="25">
        <v>0.5</v>
      </c>
      <c r="Y173" t="s">
        <v>76</v>
      </c>
      <c r="Z173" s="25">
        <v>50</v>
      </c>
      <c r="AA173" s="25">
        <v>5</v>
      </c>
      <c r="AB173" s="25">
        <v>5</v>
      </c>
      <c r="AC173" s="25">
        <v>0</v>
      </c>
      <c r="AD173" s="25">
        <v>0</v>
      </c>
      <c r="AE173" s="29">
        <v>0.2</v>
      </c>
      <c r="AF173" s="25">
        <v>20</v>
      </c>
      <c r="AG173" s="25">
        <v>0</v>
      </c>
      <c r="AH173" s="25">
        <v>0</v>
      </c>
      <c r="AI173" s="25">
        <v>0</v>
      </c>
      <c r="AJ173" s="25">
        <v>0</v>
      </c>
      <c r="AK173" s="29">
        <v>8</v>
      </c>
      <c r="AL173">
        <v>25</v>
      </c>
      <c r="AM173" t="s">
        <v>323</v>
      </c>
      <c r="AN173" t="s">
        <v>67</v>
      </c>
    </row>
    <row r="174" spans="1:40">
      <c r="A174" s="4" t="s">
        <v>315</v>
      </c>
      <c r="B174">
        <v>1992</v>
      </c>
      <c r="C174">
        <v>43</v>
      </c>
      <c r="D174">
        <v>4</v>
      </c>
      <c r="E174">
        <v>6</v>
      </c>
      <c r="F174">
        <v>30</v>
      </c>
      <c r="G174">
        <v>5</v>
      </c>
      <c r="H174">
        <v>3</v>
      </c>
      <c r="I174" t="s">
        <v>316</v>
      </c>
      <c r="J174" t="s">
        <v>317</v>
      </c>
      <c r="K174" t="s">
        <v>334</v>
      </c>
      <c r="L174" t="s">
        <v>380</v>
      </c>
      <c r="M174" t="str">
        <f t="shared" si="4"/>
        <v>Pisum</v>
      </c>
      <c r="N174" s="7" t="s">
        <v>396</v>
      </c>
      <c r="O174" t="s">
        <v>397</v>
      </c>
      <c r="P174" t="str">
        <f t="shared" si="5"/>
        <v>Low</v>
      </c>
      <c r="Q174">
        <v>0</v>
      </c>
      <c r="R174" s="25">
        <v>330</v>
      </c>
      <c r="S174">
        <v>0</v>
      </c>
      <c r="T174" s="5" t="s">
        <v>321</v>
      </c>
      <c r="U174" s="1" t="s">
        <v>322</v>
      </c>
      <c r="V174" s="1" t="s">
        <v>47</v>
      </c>
      <c r="W174" s="25" t="s">
        <v>43</v>
      </c>
      <c r="X174" s="25">
        <v>0.5</v>
      </c>
      <c r="Y174" t="s">
        <v>76</v>
      </c>
      <c r="Z174" s="25">
        <v>50</v>
      </c>
      <c r="AA174" s="25">
        <v>5</v>
      </c>
      <c r="AB174" s="25">
        <v>5</v>
      </c>
      <c r="AC174" s="25">
        <v>0</v>
      </c>
      <c r="AD174" s="25">
        <v>0</v>
      </c>
      <c r="AE174" s="29">
        <v>0.2</v>
      </c>
      <c r="AF174" s="25">
        <v>20</v>
      </c>
      <c r="AG174" s="25">
        <v>0</v>
      </c>
      <c r="AH174" s="25">
        <v>0</v>
      </c>
      <c r="AI174" s="25">
        <v>0</v>
      </c>
      <c r="AJ174" s="25">
        <v>0</v>
      </c>
      <c r="AK174" s="29">
        <v>8</v>
      </c>
      <c r="AL174">
        <v>25</v>
      </c>
      <c r="AM174" t="s">
        <v>323</v>
      </c>
      <c r="AN174" t="s">
        <v>67</v>
      </c>
    </row>
    <row r="175" spans="1:40">
      <c r="A175" s="4" t="s">
        <v>172</v>
      </c>
      <c r="B175">
        <v>1985</v>
      </c>
      <c r="C175">
        <v>43</v>
      </c>
      <c r="D175">
        <v>4</v>
      </c>
      <c r="E175">
        <v>6</v>
      </c>
      <c r="F175">
        <v>30</v>
      </c>
      <c r="G175">
        <v>5</v>
      </c>
      <c r="H175">
        <v>3</v>
      </c>
      <c r="I175" t="s">
        <v>316</v>
      </c>
      <c r="J175" t="s">
        <v>317</v>
      </c>
      <c r="K175" t="s">
        <v>334</v>
      </c>
      <c r="L175" t="s">
        <v>380</v>
      </c>
      <c r="M175" t="str">
        <f t="shared" si="4"/>
        <v>Pisum</v>
      </c>
      <c r="N175" s="7" t="s">
        <v>396</v>
      </c>
      <c r="O175" t="s">
        <v>43</v>
      </c>
      <c r="P175" t="str">
        <f t="shared" si="5"/>
        <v>Low</v>
      </c>
      <c r="Q175">
        <v>0.04</v>
      </c>
      <c r="R175" s="25">
        <v>1000</v>
      </c>
      <c r="S175">
        <v>0</v>
      </c>
      <c r="T175" s="5" t="s">
        <v>173</v>
      </c>
      <c r="U175" s="2" t="s">
        <v>88</v>
      </c>
      <c r="V175" s="1" t="s">
        <v>47</v>
      </c>
      <c r="W175" s="25">
        <v>10</v>
      </c>
      <c r="X175" s="25">
        <v>0.5</v>
      </c>
      <c r="Y175" t="s">
        <v>48</v>
      </c>
      <c r="Z175" s="25">
        <v>100</v>
      </c>
      <c r="AA175" s="25">
        <v>20</v>
      </c>
      <c r="AB175" s="25">
        <v>5</v>
      </c>
      <c r="AC175" s="25" t="s">
        <v>43</v>
      </c>
      <c r="AD175" s="25">
        <v>0.1</v>
      </c>
      <c r="AE175" s="29">
        <v>0.5</v>
      </c>
      <c r="AF175" s="25">
        <v>10</v>
      </c>
      <c r="AG175" s="25">
        <v>0</v>
      </c>
      <c r="AH175" s="25">
        <v>0</v>
      </c>
      <c r="AI175" s="25">
        <v>0</v>
      </c>
      <c r="AJ175" s="25">
        <v>0</v>
      </c>
      <c r="AK175" s="29">
        <v>7.8</v>
      </c>
      <c r="AL175">
        <v>25</v>
      </c>
      <c r="AM175" t="s">
        <v>43</v>
      </c>
      <c r="AN175" t="s">
        <v>67</v>
      </c>
    </row>
    <row r="176" spans="1:40">
      <c r="A176" s="4" t="s">
        <v>105</v>
      </c>
      <c r="B176">
        <v>1986</v>
      </c>
      <c r="C176">
        <v>43</v>
      </c>
      <c r="D176">
        <v>4</v>
      </c>
      <c r="E176">
        <v>6</v>
      </c>
      <c r="F176">
        <v>30</v>
      </c>
      <c r="G176">
        <v>5</v>
      </c>
      <c r="H176">
        <v>3</v>
      </c>
      <c r="I176" t="s">
        <v>316</v>
      </c>
      <c r="J176" t="s">
        <v>317</v>
      </c>
      <c r="K176" t="s">
        <v>334</v>
      </c>
      <c r="L176" t="s">
        <v>380</v>
      </c>
      <c r="M176" t="str">
        <f t="shared" si="4"/>
        <v>Pisum</v>
      </c>
      <c r="N176" s="7" t="s">
        <v>396</v>
      </c>
      <c r="O176" t="s">
        <v>43</v>
      </c>
      <c r="P176" t="str">
        <f t="shared" si="5"/>
        <v>Low</v>
      </c>
      <c r="Q176">
        <v>-8.0000000000000071E-2</v>
      </c>
      <c r="R176" s="25">
        <v>1000</v>
      </c>
      <c r="S176">
        <v>10</v>
      </c>
      <c r="T176" s="5" t="s">
        <v>110</v>
      </c>
      <c r="U176" s="1" t="s">
        <v>111</v>
      </c>
      <c r="V176" s="1" t="s">
        <v>47</v>
      </c>
      <c r="W176" s="25">
        <v>10</v>
      </c>
      <c r="X176" s="25">
        <v>0.5</v>
      </c>
      <c r="Y176" t="s">
        <v>48</v>
      </c>
      <c r="Z176" s="25">
        <v>100</v>
      </c>
      <c r="AA176" s="25">
        <v>5</v>
      </c>
      <c r="AB176" s="25">
        <v>0</v>
      </c>
      <c r="AC176" s="25">
        <v>5</v>
      </c>
      <c r="AD176" s="25">
        <v>0</v>
      </c>
      <c r="AE176" s="29">
        <v>0.66</v>
      </c>
      <c r="AF176" s="25">
        <v>10</v>
      </c>
      <c r="AG176" s="25">
        <v>0</v>
      </c>
      <c r="AH176" s="25">
        <v>0</v>
      </c>
      <c r="AI176" s="25">
        <v>0</v>
      </c>
      <c r="AJ176" s="25">
        <v>0</v>
      </c>
      <c r="AK176" s="29">
        <v>8</v>
      </c>
      <c r="AL176">
        <v>25</v>
      </c>
      <c r="AM176" t="s">
        <v>43</v>
      </c>
      <c r="AN176" t="s">
        <v>67</v>
      </c>
    </row>
    <row r="177" spans="1:40">
      <c r="A177" s="4" t="s">
        <v>315</v>
      </c>
      <c r="B177">
        <v>1992</v>
      </c>
      <c r="C177">
        <v>43</v>
      </c>
      <c r="D177">
        <v>4</v>
      </c>
      <c r="E177">
        <v>6</v>
      </c>
      <c r="F177">
        <v>30</v>
      </c>
      <c r="G177">
        <v>5</v>
      </c>
      <c r="H177">
        <v>3</v>
      </c>
      <c r="I177" t="s">
        <v>316</v>
      </c>
      <c r="J177" t="s">
        <v>317</v>
      </c>
      <c r="K177" t="s">
        <v>334</v>
      </c>
      <c r="L177" t="s">
        <v>380</v>
      </c>
      <c r="M177" t="str">
        <f t="shared" si="4"/>
        <v>Pisum</v>
      </c>
      <c r="N177" s="7" t="s">
        <v>396</v>
      </c>
      <c r="O177" s="2">
        <v>5237</v>
      </c>
      <c r="P177" t="str">
        <f t="shared" si="5"/>
        <v>Low</v>
      </c>
      <c r="Q177">
        <v>0</v>
      </c>
      <c r="R177" s="25">
        <v>330</v>
      </c>
      <c r="S177">
        <v>0</v>
      </c>
      <c r="T177" s="5" t="s">
        <v>321</v>
      </c>
      <c r="U177" s="1" t="s">
        <v>322</v>
      </c>
      <c r="V177" s="1" t="s">
        <v>47</v>
      </c>
      <c r="W177" s="25" t="s">
        <v>43</v>
      </c>
      <c r="X177" s="25">
        <v>0.5</v>
      </c>
      <c r="Y177" t="s">
        <v>76</v>
      </c>
      <c r="Z177" s="25">
        <v>50</v>
      </c>
      <c r="AA177" s="25">
        <v>5</v>
      </c>
      <c r="AB177" s="25">
        <v>5</v>
      </c>
      <c r="AC177" s="25">
        <v>0</v>
      </c>
      <c r="AD177" s="25">
        <v>0</v>
      </c>
      <c r="AE177" s="29">
        <v>0.2</v>
      </c>
      <c r="AF177" s="25">
        <v>20</v>
      </c>
      <c r="AG177" s="25">
        <v>0</v>
      </c>
      <c r="AH177" s="25">
        <v>0</v>
      </c>
      <c r="AI177" s="25">
        <v>0</v>
      </c>
      <c r="AJ177" s="25">
        <v>0</v>
      </c>
      <c r="AK177" s="29">
        <v>8</v>
      </c>
      <c r="AL177">
        <v>25</v>
      </c>
      <c r="AM177" t="s">
        <v>323</v>
      </c>
      <c r="AN177" t="s">
        <v>67</v>
      </c>
    </row>
    <row r="178" spans="1:40">
      <c r="A178" s="4" t="s">
        <v>315</v>
      </c>
      <c r="B178">
        <v>1992</v>
      </c>
      <c r="C178">
        <v>43</v>
      </c>
      <c r="D178">
        <v>4</v>
      </c>
      <c r="E178">
        <v>6</v>
      </c>
      <c r="F178">
        <v>30</v>
      </c>
      <c r="G178">
        <v>5</v>
      </c>
      <c r="H178">
        <v>3</v>
      </c>
      <c r="I178" t="s">
        <v>316</v>
      </c>
      <c r="J178" t="s">
        <v>317</v>
      </c>
      <c r="K178" t="s">
        <v>334</v>
      </c>
      <c r="L178" t="s">
        <v>380</v>
      </c>
      <c r="M178" t="str">
        <f t="shared" si="4"/>
        <v>Pisum</v>
      </c>
      <c r="N178" s="7" t="s">
        <v>396</v>
      </c>
      <c r="O178" s="2">
        <v>5951</v>
      </c>
      <c r="P178" t="str">
        <f t="shared" si="5"/>
        <v>Low</v>
      </c>
      <c r="Q178">
        <v>0</v>
      </c>
      <c r="R178" s="25">
        <v>330</v>
      </c>
      <c r="S178">
        <v>0</v>
      </c>
      <c r="T178" s="5" t="s">
        <v>321</v>
      </c>
      <c r="U178" s="1" t="s">
        <v>322</v>
      </c>
      <c r="V178" s="1" t="s">
        <v>47</v>
      </c>
      <c r="W178" s="25" t="s">
        <v>43</v>
      </c>
      <c r="X178" s="25">
        <v>0.5</v>
      </c>
      <c r="Y178" t="s">
        <v>76</v>
      </c>
      <c r="Z178" s="25">
        <v>50</v>
      </c>
      <c r="AA178" s="25">
        <v>5</v>
      </c>
      <c r="AB178" s="25">
        <v>5</v>
      </c>
      <c r="AC178" s="25">
        <v>0</v>
      </c>
      <c r="AD178" s="25">
        <v>0</v>
      </c>
      <c r="AE178" s="29">
        <v>0.2</v>
      </c>
      <c r="AF178" s="25">
        <v>20</v>
      </c>
      <c r="AG178" s="25">
        <v>0</v>
      </c>
      <c r="AH178" s="25">
        <v>0</v>
      </c>
      <c r="AI178" s="25">
        <v>0</v>
      </c>
      <c r="AJ178" s="25">
        <v>0</v>
      </c>
      <c r="AK178" s="29">
        <v>8</v>
      </c>
      <c r="AL178">
        <v>25</v>
      </c>
      <c r="AM178" t="s">
        <v>323</v>
      </c>
      <c r="AN178" t="s">
        <v>67</v>
      </c>
    </row>
    <row r="179" spans="1:40">
      <c r="A179" s="4" t="s">
        <v>315</v>
      </c>
      <c r="B179">
        <v>1992</v>
      </c>
      <c r="C179">
        <v>43</v>
      </c>
      <c r="D179">
        <v>4</v>
      </c>
      <c r="E179">
        <v>6</v>
      </c>
      <c r="F179">
        <v>30</v>
      </c>
      <c r="G179">
        <v>5</v>
      </c>
      <c r="H179">
        <v>3</v>
      </c>
      <c r="I179" t="s">
        <v>316</v>
      </c>
      <c r="J179" t="s">
        <v>317</v>
      </c>
      <c r="K179" t="s">
        <v>334</v>
      </c>
      <c r="L179" t="s">
        <v>380</v>
      </c>
      <c r="M179" t="str">
        <f t="shared" si="4"/>
        <v>Pisum</v>
      </c>
      <c r="N179" s="7" t="s">
        <v>396</v>
      </c>
      <c r="O179" s="2" t="s">
        <v>398</v>
      </c>
      <c r="P179" t="str">
        <f t="shared" si="5"/>
        <v>Low</v>
      </c>
      <c r="Q179">
        <v>0.14099999999999999</v>
      </c>
      <c r="R179" s="25">
        <v>330</v>
      </c>
      <c r="S179">
        <v>0</v>
      </c>
      <c r="T179" s="5" t="s">
        <v>321</v>
      </c>
      <c r="U179" s="1" t="s">
        <v>322</v>
      </c>
      <c r="V179" s="1" t="s">
        <v>47</v>
      </c>
      <c r="W179" s="25" t="s">
        <v>43</v>
      </c>
      <c r="X179" s="25">
        <v>0.5</v>
      </c>
      <c r="Y179" t="s">
        <v>76</v>
      </c>
      <c r="Z179" s="25">
        <v>50</v>
      </c>
      <c r="AA179" s="25">
        <v>5</v>
      </c>
      <c r="AB179" s="25">
        <v>5</v>
      </c>
      <c r="AC179" s="25">
        <v>0</v>
      </c>
      <c r="AD179" s="25">
        <v>0</v>
      </c>
      <c r="AE179" s="29">
        <v>0.2</v>
      </c>
      <c r="AF179" s="25">
        <v>20</v>
      </c>
      <c r="AG179" s="25">
        <v>0</v>
      </c>
      <c r="AH179" s="25">
        <v>0</v>
      </c>
      <c r="AI179" s="25">
        <v>0</v>
      </c>
      <c r="AJ179" s="25">
        <v>0</v>
      </c>
      <c r="AK179" s="29">
        <v>8</v>
      </c>
      <c r="AL179">
        <v>25</v>
      </c>
      <c r="AM179" t="s">
        <v>323</v>
      </c>
      <c r="AN179" t="s">
        <v>67</v>
      </c>
    </row>
    <row r="180" spans="1:40">
      <c r="A180" s="4" t="s">
        <v>315</v>
      </c>
      <c r="B180">
        <v>1992</v>
      </c>
      <c r="C180">
        <v>43</v>
      </c>
      <c r="D180">
        <v>4</v>
      </c>
      <c r="E180">
        <v>6</v>
      </c>
      <c r="F180">
        <v>30</v>
      </c>
      <c r="G180">
        <v>5</v>
      </c>
      <c r="H180">
        <v>3</v>
      </c>
      <c r="I180" t="s">
        <v>316</v>
      </c>
      <c r="J180" t="s">
        <v>317</v>
      </c>
      <c r="K180" t="s">
        <v>334</v>
      </c>
      <c r="L180" t="s">
        <v>380</v>
      </c>
      <c r="M180" t="str">
        <f t="shared" si="4"/>
        <v>Pisum</v>
      </c>
      <c r="N180" s="7" t="s">
        <v>396</v>
      </c>
      <c r="O180" s="2" t="s">
        <v>399</v>
      </c>
      <c r="P180" t="str">
        <f t="shared" si="5"/>
        <v>Low</v>
      </c>
      <c r="Q180">
        <v>0</v>
      </c>
      <c r="R180" s="25">
        <v>330</v>
      </c>
      <c r="S180">
        <v>0</v>
      </c>
      <c r="T180" s="5" t="s">
        <v>321</v>
      </c>
      <c r="U180" s="1" t="s">
        <v>322</v>
      </c>
      <c r="V180" s="1" t="s">
        <v>47</v>
      </c>
      <c r="W180" s="25" t="s">
        <v>43</v>
      </c>
      <c r="X180" s="25">
        <v>0.5</v>
      </c>
      <c r="Y180" t="s">
        <v>76</v>
      </c>
      <c r="Z180" s="25">
        <v>50</v>
      </c>
      <c r="AA180" s="25">
        <v>5</v>
      </c>
      <c r="AB180" s="25">
        <v>5</v>
      </c>
      <c r="AC180" s="25">
        <v>0</v>
      </c>
      <c r="AD180" s="25">
        <v>0</v>
      </c>
      <c r="AE180" s="29">
        <v>0.2</v>
      </c>
      <c r="AF180" s="25">
        <v>20</v>
      </c>
      <c r="AG180" s="25">
        <v>0</v>
      </c>
      <c r="AH180" s="25">
        <v>0</v>
      </c>
      <c r="AI180" s="25">
        <v>0</v>
      </c>
      <c r="AJ180" s="25">
        <v>0</v>
      </c>
      <c r="AK180" s="29">
        <v>8</v>
      </c>
      <c r="AL180">
        <v>25</v>
      </c>
      <c r="AM180" t="s">
        <v>323</v>
      </c>
      <c r="AN180" t="s">
        <v>67</v>
      </c>
    </row>
    <row r="181" spans="1:40">
      <c r="A181" s="4" t="s">
        <v>315</v>
      </c>
      <c r="B181">
        <v>1992</v>
      </c>
      <c r="C181">
        <v>43</v>
      </c>
      <c r="D181">
        <v>4</v>
      </c>
      <c r="E181">
        <v>6</v>
      </c>
      <c r="F181">
        <v>30</v>
      </c>
      <c r="G181">
        <v>5</v>
      </c>
      <c r="H181">
        <v>3</v>
      </c>
      <c r="I181" t="s">
        <v>316</v>
      </c>
      <c r="J181" t="s">
        <v>317</v>
      </c>
      <c r="K181" t="s">
        <v>334</v>
      </c>
      <c r="L181" t="s">
        <v>380</v>
      </c>
      <c r="M181" t="str">
        <f t="shared" si="4"/>
        <v>Pisum</v>
      </c>
      <c r="N181" s="7" t="s">
        <v>396</v>
      </c>
      <c r="O181" s="2" t="s">
        <v>400</v>
      </c>
      <c r="P181" t="str">
        <f t="shared" si="5"/>
        <v>Moderate</v>
      </c>
      <c r="Q181">
        <v>0.19700000000000001</v>
      </c>
      <c r="R181" s="25">
        <v>330</v>
      </c>
      <c r="S181">
        <v>0</v>
      </c>
      <c r="T181" s="5" t="s">
        <v>321</v>
      </c>
      <c r="U181" s="1" t="s">
        <v>322</v>
      </c>
      <c r="V181" s="1" t="s">
        <v>47</v>
      </c>
      <c r="W181" s="25" t="s">
        <v>43</v>
      </c>
      <c r="X181" s="25">
        <v>0.5</v>
      </c>
      <c r="Y181" t="s">
        <v>76</v>
      </c>
      <c r="Z181" s="25">
        <v>50</v>
      </c>
      <c r="AA181" s="25">
        <v>5</v>
      </c>
      <c r="AB181" s="25">
        <v>5</v>
      </c>
      <c r="AC181" s="25">
        <v>0</v>
      </c>
      <c r="AD181" s="25">
        <v>0</v>
      </c>
      <c r="AE181" s="29">
        <v>0.2</v>
      </c>
      <c r="AF181" s="25">
        <v>20</v>
      </c>
      <c r="AG181" s="25">
        <v>0</v>
      </c>
      <c r="AH181" s="25">
        <v>0</v>
      </c>
      <c r="AI181" s="25">
        <v>0</v>
      </c>
      <c r="AJ181" s="25">
        <v>0</v>
      </c>
      <c r="AK181" s="29">
        <v>8</v>
      </c>
      <c r="AL181">
        <v>25</v>
      </c>
      <c r="AM181" t="s">
        <v>323</v>
      </c>
      <c r="AN181" t="s">
        <v>67</v>
      </c>
    </row>
    <row r="182" spans="1:40">
      <c r="A182" s="4" t="s">
        <v>315</v>
      </c>
      <c r="B182">
        <v>1992</v>
      </c>
      <c r="C182">
        <v>43</v>
      </c>
      <c r="D182">
        <v>4</v>
      </c>
      <c r="E182">
        <v>6</v>
      </c>
      <c r="F182">
        <v>30</v>
      </c>
      <c r="G182">
        <v>5</v>
      </c>
      <c r="H182">
        <v>3</v>
      </c>
      <c r="I182" t="s">
        <v>316</v>
      </c>
      <c r="J182" t="s">
        <v>317</v>
      </c>
      <c r="K182" t="s">
        <v>334</v>
      </c>
      <c r="L182" t="s">
        <v>380</v>
      </c>
      <c r="M182" t="str">
        <f t="shared" si="4"/>
        <v>Pisum</v>
      </c>
      <c r="N182" s="7" t="s">
        <v>396</v>
      </c>
      <c r="O182" s="2" t="s">
        <v>401</v>
      </c>
      <c r="P182" t="str">
        <f t="shared" si="5"/>
        <v>Low</v>
      </c>
      <c r="Q182">
        <v>0</v>
      </c>
      <c r="R182" s="25">
        <v>330</v>
      </c>
      <c r="S182">
        <v>0</v>
      </c>
      <c r="T182" s="5" t="s">
        <v>321</v>
      </c>
      <c r="U182" s="1" t="s">
        <v>322</v>
      </c>
      <c r="V182" s="1" t="s">
        <v>47</v>
      </c>
      <c r="W182" s="25" t="s">
        <v>43</v>
      </c>
      <c r="X182" s="25">
        <v>0.5</v>
      </c>
      <c r="Y182" t="s">
        <v>76</v>
      </c>
      <c r="Z182" s="25">
        <v>50</v>
      </c>
      <c r="AA182" s="25">
        <v>5</v>
      </c>
      <c r="AB182" s="25">
        <v>5</v>
      </c>
      <c r="AC182" s="25">
        <v>0</v>
      </c>
      <c r="AD182" s="25">
        <v>0</v>
      </c>
      <c r="AE182" s="29">
        <v>0.2</v>
      </c>
      <c r="AF182" s="25">
        <v>20</v>
      </c>
      <c r="AG182" s="25">
        <v>0</v>
      </c>
      <c r="AH182" s="25">
        <v>0</v>
      </c>
      <c r="AI182" s="25">
        <v>0</v>
      </c>
      <c r="AJ182" s="25">
        <v>0</v>
      </c>
      <c r="AK182" s="29">
        <v>8</v>
      </c>
      <c r="AL182">
        <v>25</v>
      </c>
      <c r="AM182" t="s">
        <v>323</v>
      </c>
      <c r="AN182" t="s">
        <v>67</v>
      </c>
    </row>
    <row r="183" spans="1:40">
      <c r="A183" s="4" t="s">
        <v>315</v>
      </c>
      <c r="B183">
        <v>1992</v>
      </c>
      <c r="C183">
        <v>43</v>
      </c>
      <c r="D183">
        <v>4</v>
      </c>
      <c r="E183">
        <v>6</v>
      </c>
      <c r="F183">
        <v>30</v>
      </c>
      <c r="G183">
        <v>5</v>
      </c>
      <c r="H183">
        <v>3</v>
      </c>
      <c r="I183" t="s">
        <v>316</v>
      </c>
      <c r="J183" t="s">
        <v>317</v>
      </c>
      <c r="K183" t="s">
        <v>334</v>
      </c>
      <c r="L183" t="s">
        <v>380</v>
      </c>
      <c r="M183" t="str">
        <f t="shared" si="4"/>
        <v>Pisum</v>
      </c>
      <c r="N183" s="7" t="s">
        <v>396</v>
      </c>
      <c r="O183" t="s">
        <v>402</v>
      </c>
      <c r="P183" t="str">
        <f t="shared" si="5"/>
        <v>Low</v>
      </c>
      <c r="Q183">
        <v>0</v>
      </c>
      <c r="R183" s="25">
        <v>330</v>
      </c>
      <c r="S183">
        <v>0</v>
      </c>
      <c r="T183" s="5" t="s">
        <v>321</v>
      </c>
      <c r="U183" s="1" t="s">
        <v>322</v>
      </c>
      <c r="V183" s="1" t="s">
        <v>47</v>
      </c>
      <c r="W183" s="25" t="s">
        <v>43</v>
      </c>
      <c r="X183" s="25">
        <v>0.5</v>
      </c>
      <c r="Y183" t="s">
        <v>76</v>
      </c>
      <c r="Z183" s="25">
        <v>50</v>
      </c>
      <c r="AA183" s="25">
        <v>5</v>
      </c>
      <c r="AB183" s="25">
        <v>5</v>
      </c>
      <c r="AC183" s="25">
        <v>0</v>
      </c>
      <c r="AD183" s="25">
        <v>0</v>
      </c>
      <c r="AE183" s="29">
        <v>0.2</v>
      </c>
      <c r="AF183" s="25">
        <v>20</v>
      </c>
      <c r="AG183" s="25">
        <v>0</v>
      </c>
      <c r="AH183" s="25">
        <v>0</v>
      </c>
      <c r="AI183" s="25">
        <v>0</v>
      </c>
      <c r="AJ183" s="25">
        <v>0</v>
      </c>
      <c r="AK183" s="29">
        <v>8</v>
      </c>
      <c r="AL183">
        <v>25</v>
      </c>
      <c r="AM183" t="s">
        <v>323</v>
      </c>
      <c r="AN183" t="s">
        <v>67</v>
      </c>
    </row>
    <row r="184" spans="1:40">
      <c r="A184" s="4" t="s">
        <v>315</v>
      </c>
      <c r="B184">
        <v>1992</v>
      </c>
      <c r="C184">
        <v>43</v>
      </c>
      <c r="D184">
        <v>4</v>
      </c>
      <c r="E184">
        <v>6</v>
      </c>
      <c r="F184">
        <v>30</v>
      </c>
      <c r="G184">
        <v>5</v>
      </c>
      <c r="H184">
        <v>3</v>
      </c>
      <c r="I184" t="s">
        <v>316</v>
      </c>
      <c r="J184" t="s">
        <v>317</v>
      </c>
      <c r="K184" t="s">
        <v>334</v>
      </c>
      <c r="L184" t="s">
        <v>380</v>
      </c>
      <c r="M184" t="str">
        <f t="shared" si="4"/>
        <v>Pisum</v>
      </c>
      <c r="N184" s="7" t="s">
        <v>396</v>
      </c>
      <c r="O184" s="2" t="s">
        <v>403</v>
      </c>
      <c r="P184" t="str">
        <f t="shared" si="5"/>
        <v>Low</v>
      </c>
      <c r="Q184">
        <v>0.01</v>
      </c>
      <c r="R184" s="25">
        <v>330</v>
      </c>
      <c r="S184">
        <v>0</v>
      </c>
      <c r="T184" s="5" t="s">
        <v>321</v>
      </c>
      <c r="U184" s="1" t="s">
        <v>322</v>
      </c>
      <c r="V184" s="1" t="s">
        <v>47</v>
      </c>
      <c r="W184" s="25" t="s">
        <v>43</v>
      </c>
      <c r="X184" s="25">
        <v>0.5</v>
      </c>
      <c r="Y184" t="s">
        <v>76</v>
      </c>
      <c r="Z184" s="25">
        <v>50</v>
      </c>
      <c r="AA184" s="25">
        <v>5</v>
      </c>
      <c r="AB184" s="25">
        <v>5</v>
      </c>
      <c r="AC184" s="25">
        <v>0</v>
      </c>
      <c r="AD184" s="25">
        <v>0</v>
      </c>
      <c r="AE184" s="29">
        <v>0.2</v>
      </c>
      <c r="AF184" s="25">
        <v>20</v>
      </c>
      <c r="AG184" s="25">
        <v>0</v>
      </c>
      <c r="AH184" s="25">
        <v>0</v>
      </c>
      <c r="AI184" s="25">
        <v>0</v>
      </c>
      <c r="AJ184" s="25">
        <v>0</v>
      </c>
      <c r="AK184" s="29">
        <v>8</v>
      </c>
      <c r="AL184">
        <v>25</v>
      </c>
      <c r="AM184" t="s">
        <v>323</v>
      </c>
      <c r="AN184" t="s">
        <v>67</v>
      </c>
    </row>
    <row r="185" spans="1:40">
      <c r="A185" s="4" t="s">
        <v>315</v>
      </c>
      <c r="B185">
        <v>1992</v>
      </c>
      <c r="C185">
        <v>43</v>
      </c>
      <c r="D185">
        <v>4</v>
      </c>
      <c r="E185">
        <v>6</v>
      </c>
      <c r="F185">
        <v>30</v>
      </c>
      <c r="G185">
        <v>5</v>
      </c>
      <c r="H185">
        <v>3</v>
      </c>
      <c r="I185" t="s">
        <v>316</v>
      </c>
      <c r="J185" t="s">
        <v>317</v>
      </c>
      <c r="K185" t="s">
        <v>334</v>
      </c>
      <c r="L185" t="s">
        <v>380</v>
      </c>
      <c r="M185" t="str">
        <f t="shared" si="4"/>
        <v>Pisum</v>
      </c>
      <c r="N185" s="7" t="s">
        <v>396</v>
      </c>
      <c r="O185" s="2" t="s">
        <v>404</v>
      </c>
      <c r="P185" t="str">
        <f t="shared" si="5"/>
        <v>Low</v>
      </c>
      <c r="Q185">
        <v>0.01</v>
      </c>
      <c r="R185" s="25">
        <v>330</v>
      </c>
      <c r="S185">
        <v>0</v>
      </c>
      <c r="T185" s="5" t="s">
        <v>321</v>
      </c>
      <c r="U185" s="1" t="s">
        <v>322</v>
      </c>
      <c r="V185" s="1" t="s">
        <v>47</v>
      </c>
      <c r="W185" s="25" t="s">
        <v>43</v>
      </c>
      <c r="X185" s="25">
        <v>0.5</v>
      </c>
      <c r="Y185" t="s">
        <v>76</v>
      </c>
      <c r="Z185" s="25">
        <v>50</v>
      </c>
      <c r="AA185" s="25">
        <v>5</v>
      </c>
      <c r="AB185" s="25">
        <v>5</v>
      </c>
      <c r="AC185" s="25">
        <v>0</v>
      </c>
      <c r="AD185" s="25">
        <v>0</v>
      </c>
      <c r="AE185" s="29">
        <v>0.2</v>
      </c>
      <c r="AF185" s="25">
        <v>20</v>
      </c>
      <c r="AG185" s="25">
        <v>0</v>
      </c>
      <c r="AH185" s="25">
        <v>0</v>
      </c>
      <c r="AI185" s="25">
        <v>0</v>
      </c>
      <c r="AJ185" s="25">
        <v>0</v>
      </c>
      <c r="AK185" s="29">
        <v>8</v>
      </c>
      <c r="AL185">
        <v>25</v>
      </c>
      <c r="AM185" t="s">
        <v>323</v>
      </c>
      <c r="AN185" t="s">
        <v>67</v>
      </c>
    </row>
    <row r="186" spans="1:40">
      <c r="A186" s="4" t="s">
        <v>315</v>
      </c>
      <c r="B186">
        <v>1992</v>
      </c>
      <c r="C186">
        <v>43</v>
      </c>
      <c r="D186">
        <v>4</v>
      </c>
      <c r="E186">
        <v>6</v>
      </c>
      <c r="F186">
        <v>30</v>
      </c>
      <c r="G186">
        <v>5</v>
      </c>
      <c r="H186">
        <v>3</v>
      </c>
      <c r="I186" t="s">
        <v>316</v>
      </c>
      <c r="J186" t="s">
        <v>317</v>
      </c>
      <c r="K186" t="s">
        <v>334</v>
      </c>
      <c r="L186" t="s">
        <v>380</v>
      </c>
      <c r="M186" t="str">
        <f t="shared" si="4"/>
        <v>Pisum</v>
      </c>
      <c r="N186" s="7" t="s">
        <v>396</v>
      </c>
      <c r="O186" s="2" t="s">
        <v>405</v>
      </c>
      <c r="P186" t="str">
        <f t="shared" si="5"/>
        <v>Low</v>
      </c>
      <c r="Q186">
        <v>0</v>
      </c>
      <c r="R186" s="25">
        <v>330</v>
      </c>
      <c r="S186">
        <v>0</v>
      </c>
      <c r="T186" s="5" t="s">
        <v>321</v>
      </c>
      <c r="U186" s="1" t="s">
        <v>322</v>
      </c>
      <c r="V186" s="1" t="s">
        <v>47</v>
      </c>
      <c r="W186" s="25" t="s">
        <v>43</v>
      </c>
      <c r="X186" s="25">
        <v>0.5</v>
      </c>
      <c r="Y186" t="s">
        <v>76</v>
      </c>
      <c r="Z186" s="25">
        <v>50</v>
      </c>
      <c r="AA186" s="25">
        <v>5</v>
      </c>
      <c r="AB186" s="25">
        <v>5</v>
      </c>
      <c r="AC186" s="25">
        <v>0</v>
      </c>
      <c r="AD186" s="25">
        <v>0</v>
      </c>
      <c r="AE186" s="29">
        <v>0.2</v>
      </c>
      <c r="AF186" s="25">
        <v>20</v>
      </c>
      <c r="AG186" s="25">
        <v>0</v>
      </c>
      <c r="AH186" s="25">
        <v>0</v>
      </c>
      <c r="AI186" s="25">
        <v>0</v>
      </c>
      <c r="AJ186" s="25">
        <v>0</v>
      </c>
      <c r="AK186" s="29">
        <v>8</v>
      </c>
      <c r="AL186">
        <v>25</v>
      </c>
      <c r="AM186" t="s">
        <v>323</v>
      </c>
      <c r="AN186" t="s">
        <v>67</v>
      </c>
    </row>
    <row r="187" spans="1:40">
      <c r="A187" s="4" t="s">
        <v>315</v>
      </c>
      <c r="B187">
        <v>1992</v>
      </c>
      <c r="C187">
        <v>43</v>
      </c>
      <c r="D187">
        <v>4</v>
      </c>
      <c r="E187">
        <v>6</v>
      </c>
      <c r="F187">
        <v>30</v>
      </c>
      <c r="G187">
        <v>5</v>
      </c>
      <c r="H187">
        <v>3</v>
      </c>
      <c r="I187" t="s">
        <v>316</v>
      </c>
      <c r="J187" t="s">
        <v>317</v>
      </c>
      <c r="K187" t="s">
        <v>334</v>
      </c>
      <c r="L187" t="s">
        <v>380</v>
      </c>
      <c r="M187" t="str">
        <f t="shared" si="4"/>
        <v>Pisum</v>
      </c>
      <c r="N187" s="7" t="s">
        <v>396</v>
      </c>
      <c r="O187" s="2" t="s">
        <v>406</v>
      </c>
      <c r="P187" t="str">
        <f t="shared" si="5"/>
        <v>Low</v>
      </c>
      <c r="Q187">
        <v>0</v>
      </c>
      <c r="R187" s="25">
        <v>330</v>
      </c>
      <c r="S187">
        <v>0</v>
      </c>
      <c r="T187" s="5" t="s">
        <v>321</v>
      </c>
      <c r="U187" s="1" t="s">
        <v>322</v>
      </c>
      <c r="V187" s="1" t="s">
        <v>47</v>
      </c>
      <c r="W187" s="25" t="s">
        <v>43</v>
      </c>
      <c r="X187" s="25">
        <v>0.5</v>
      </c>
      <c r="Y187" t="s">
        <v>76</v>
      </c>
      <c r="Z187" s="25">
        <v>50</v>
      </c>
      <c r="AA187" s="25">
        <v>5</v>
      </c>
      <c r="AB187" s="25">
        <v>5</v>
      </c>
      <c r="AC187" s="25">
        <v>0</v>
      </c>
      <c r="AD187" s="25">
        <v>0</v>
      </c>
      <c r="AE187" s="29">
        <v>0.2</v>
      </c>
      <c r="AF187" s="25">
        <v>20</v>
      </c>
      <c r="AG187" s="25">
        <v>0</v>
      </c>
      <c r="AH187" s="25">
        <v>0</v>
      </c>
      <c r="AI187" s="25">
        <v>0</v>
      </c>
      <c r="AJ187" s="25">
        <v>0</v>
      </c>
      <c r="AK187" s="29">
        <v>8</v>
      </c>
      <c r="AL187">
        <v>25</v>
      </c>
      <c r="AM187" t="s">
        <v>323</v>
      </c>
      <c r="AN187" t="s">
        <v>67</v>
      </c>
    </row>
    <row r="188" spans="1:40">
      <c r="A188" s="4" t="s">
        <v>315</v>
      </c>
      <c r="B188">
        <v>1992</v>
      </c>
      <c r="C188">
        <v>43</v>
      </c>
      <c r="D188">
        <v>4</v>
      </c>
      <c r="E188">
        <v>6</v>
      </c>
      <c r="F188">
        <v>30</v>
      </c>
      <c r="G188">
        <v>5</v>
      </c>
      <c r="H188">
        <v>3</v>
      </c>
      <c r="I188" t="s">
        <v>316</v>
      </c>
      <c r="J188" t="s">
        <v>317</v>
      </c>
      <c r="K188" t="s">
        <v>334</v>
      </c>
      <c r="L188" t="s">
        <v>380</v>
      </c>
      <c r="M188" t="str">
        <f t="shared" si="4"/>
        <v>Pisum</v>
      </c>
      <c r="N188" s="7" t="s">
        <v>396</v>
      </c>
      <c r="O188" s="2" t="s">
        <v>407</v>
      </c>
      <c r="P188" t="str">
        <f t="shared" si="5"/>
        <v>Low</v>
      </c>
      <c r="Q188">
        <v>0</v>
      </c>
      <c r="R188" s="25">
        <v>330</v>
      </c>
      <c r="S188">
        <v>0</v>
      </c>
      <c r="T188" s="5" t="s">
        <v>321</v>
      </c>
      <c r="U188" s="1" t="s">
        <v>322</v>
      </c>
      <c r="V188" s="1" t="s">
        <v>47</v>
      </c>
      <c r="W188" s="25" t="s">
        <v>43</v>
      </c>
      <c r="X188" s="25">
        <v>0.5</v>
      </c>
      <c r="Y188" t="s">
        <v>76</v>
      </c>
      <c r="Z188" s="25">
        <v>50</v>
      </c>
      <c r="AA188" s="25">
        <v>5</v>
      </c>
      <c r="AB188" s="25">
        <v>5</v>
      </c>
      <c r="AC188" s="25">
        <v>0</v>
      </c>
      <c r="AD188" s="25">
        <v>0</v>
      </c>
      <c r="AE188" s="29">
        <v>0.2</v>
      </c>
      <c r="AF188" s="25">
        <v>20</v>
      </c>
      <c r="AG188" s="25">
        <v>0</v>
      </c>
      <c r="AH188" s="25">
        <v>0</v>
      </c>
      <c r="AI188" s="25">
        <v>0</v>
      </c>
      <c r="AJ188" s="25">
        <v>0</v>
      </c>
      <c r="AK188" s="29">
        <v>8</v>
      </c>
      <c r="AL188">
        <v>25</v>
      </c>
      <c r="AM188" t="s">
        <v>323</v>
      </c>
      <c r="AN188" t="s">
        <v>67</v>
      </c>
    </row>
    <row r="189" spans="1:40">
      <c r="A189" s="4" t="s">
        <v>315</v>
      </c>
      <c r="B189">
        <v>1992</v>
      </c>
      <c r="C189">
        <v>43</v>
      </c>
      <c r="D189">
        <v>4</v>
      </c>
      <c r="E189">
        <v>6</v>
      </c>
      <c r="F189">
        <v>31</v>
      </c>
      <c r="G189">
        <v>1</v>
      </c>
      <c r="H189">
        <v>0</v>
      </c>
      <c r="I189" t="s">
        <v>316</v>
      </c>
      <c r="J189" t="s">
        <v>317</v>
      </c>
      <c r="K189" t="s">
        <v>334</v>
      </c>
      <c r="L189" t="s">
        <v>408</v>
      </c>
      <c r="M189" t="str">
        <f t="shared" si="4"/>
        <v>Ononis</v>
      </c>
      <c r="N189" s="7" t="s">
        <v>409</v>
      </c>
      <c r="O189" t="s">
        <v>43</v>
      </c>
      <c r="P189" t="str">
        <f t="shared" si="5"/>
        <v>Moderate</v>
      </c>
      <c r="Q189">
        <v>0.30599999999999999</v>
      </c>
      <c r="R189" s="25">
        <v>330</v>
      </c>
      <c r="S189">
        <v>0</v>
      </c>
      <c r="T189" s="5" t="s">
        <v>321</v>
      </c>
      <c r="U189" s="1" t="s">
        <v>322</v>
      </c>
      <c r="V189" s="1" t="s">
        <v>47</v>
      </c>
      <c r="W189" s="25" t="s">
        <v>43</v>
      </c>
      <c r="X189" s="25">
        <v>0.5</v>
      </c>
      <c r="Y189" t="s">
        <v>76</v>
      </c>
      <c r="Z189" s="25">
        <v>50</v>
      </c>
      <c r="AA189" s="25">
        <v>5</v>
      </c>
      <c r="AB189" s="25">
        <v>5</v>
      </c>
      <c r="AC189" s="25">
        <v>0</v>
      </c>
      <c r="AD189" s="25">
        <v>0</v>
      </c>
      <c r="AE189" s="29">
        <v>0.2</v>
      </c>
      <c r="AF189" s="25">
        <v>20</v>
      </c>
      <c r="AG189" s="25">
        <v>0</v>
      </c>
      <c r="AH189" s="25">
        <v>0</v>
      </c>
      <c r="AI189" s="25">
        <v>0</v>
      </c>
      <c r="AJ189" s="25">
        <v>0</v>
      </c>
      <c r="AK189" s="29">
        <v>8</v>
      </c>
      <c r="AL189">
        <v>25</v>
      </c>
      <c r="AM189" t="s">
        <v>323</v>
      </c>
      <c r="AN189" t="s">
        <v>67</v>
      </c>
    </row>
    <row r="190" spans="1:40">
      <c r="A190" s="4" t="s">
        <v>315</v>
      </c>
      <c r="B190">
        <v>1992</v>
      </c>
      <c r="C190">
        <v>43</v>
      </c>
      <c r="D190">
        <v>4</v>
      </c>
      <c r="E190">
        <v>6</v>
      </c>
      <c r="F190">
        <v>31</v>
      </c>
      <c r="G190">
        <v>1</v>
      </c>
      <c r="H190">
        <v>0</v>
      </c>
      <c r="I190" t="s">
        <v>316</v>
      </c>
      <c r="J190" t="s">
        <v>317</v>
      </c>
      <c r="K190" t="s">
        <v>334</v>
      </c>
      <c r="L190" t="s">
        <v>408</v>
      </c>
      <c r="M190" t="str">
        <f t="shared" si="4"/>
        <v>Ononis</v>
      </c>
      <c r="N190" s="7" t="s">
        <v>410</v>
      </c>
      <c r="O190" t="s">
        <v>43</v>
      </c>
      <c r="P190" t="str">
        <f t="shared" si="5"/>
        <v>Moderate</v>
      </c>
      <c r="Q190">
        <v>0.33900000000000002</v>
      </c>
      <c r="R190" s="25">
        <v>330</v>
      </c>
      <c r="S190">
        <v>0</v>
      </c>
      <c r="T190" s="5" t="s">
        <v>321</v>
      </c>
      <c r="U190" s="1" t="s">
        <v>322</v>
      </c>
      <c r="V190" s="1" t="s">
        <v>47</v>
      </c>
      <c r="W190" s="25" t="s">
        <v>43</v>
      </c>
      <c r="X190" s="25">
        <v>0.5</v>
      </c>
      <c r="Y190" t="s">
        <v>76</v>
      </c>
      <c r="Z190" s="25">
        <v>50</v>
      </c>
      <c r="AA190" s="25">
        <v>5</v>
      </c>
      <c r="AB190" s="25">
        <v>5</v>
      </c>
      <c r="AC190" s="25">
        <v>0</v>
      </c>
      <c r="AD190" s="25">
        <v>0</v>
      </c>
      <c r="AE190" s="29">
        <v>0.2</v>
      </c>
      <c r="AF190" s="25">
        <v>20</v>
      </c>
      <c r="AG190" s="25">
        <v>0</v>
      </c>
      <c r="AH190" s="25">
        <v>0</v>
      </c>
      <c r="AI190" s="25">
        <v>0</v>
      </c>
      <c r="AJ190" s="25">
        <v>0</v>
      </c>
      <c r="AK190" s="29">
        <v>8</v>
      </c>
      <c r="AL190">
        <v>25</v>
      </c>
      <c r="AM190" t="s">
        <v>323</v>
      </c>
      <c r="AN190" t="s">
        <v>67</v>
      </c>
    </row>
    <row r="191" spans="1:40">
      <c r="A191" s="4" t="s">
        <v>315</v>
      </c>
      <c r="B191">
        <v>1992</v>
      </c>
      <c r="C191">
        <v>43</v>
      </c>
      <c r="D191">
        <v>4</v>
      </c>
      <c r="E191">
        <v>6</v>
      </c>
      <c r="F191">
        <v>31</v>
      </c>
      <c r="G191">
        <v>2</v>
      </c>
      <c r="H191">
        <v>1</v>
      </c>
      <c r="I191" t="s">
        <v>316</v>
      </c>
      <c r="J191" t="s">
        <v>317</v>
      </c>
      <c r="K191" t="s">
        <v>334</v>
      </c>
      <c r="L191" t="s">
        <v>408</v>
      </c>
      <c r="M191" t="str">
        <f t="shared" si="4"/>
        <v>Trifolium</v>
      </c>
      <c r="N191" s="7" t="s">
        <v>411</v>
      </c>
      <c r="O191" t="s">
        <v>43</v>
      </c>
      <c r="P191" t="str">
        <f t="shared" si="5"/>
        <v>Low</v>
      </c>
      <c r="Q191">
        <v>0.14899999999999999</v>
      </c>
      <c r="R191" s="25">
        <v>330</v>
      </c>
      <c r="S191">
        <v>0</v>
      </c>
      <c r="T191" s="5" t="s">
        <v>321</v>
      </c>
      <c r="U191" s="1" t="s">
        <v>322</v>
      </c>
      <c r="V191" s="1" t="s">
        <v>47</v>
      </c>
      <c r="W191" s="25" t="s">
        <v>43</v>
      </c>
      <c r="X191" s="25">
        <v>0.5</v>
      </c>
      <c r="Y191" t="s">
        <v>76</v>
      </c>
      <c r="Z191" s="25">
        <v>50</v>
      </c>
      <c r="AA191" s="25">
        <v>5</v>
      </c>
      <c r="AB191" s="25">
        <v>5</v>
      </c>
      <c r="AC191" s="25">
        <v>0</v>
      </c>
      <c r="AD191" s="25">
        <v>0</v>
      </c>
      <c r="AE191" s="29">
        <v>0.2</v>
      </c>
      <c r="AF191" s="25">
        <v>20</v>
      </c>
      <c r="AG191" s="25">
        <v>0</v>
      </c>
      <c r="AH191" s="25">
        <v>0</v>
      </c>
      <c r="AI191" s="25">
        <v>0</v>
      </c>
      <c r="AJ191" s="25">
        <v>0</v>
      </c>
      <c r="AK191" s="29">
        <v>8</v>
      </c>
      <c r="AL191">
        <v>25</v>
      </c>
      <c r="AM191" t="s">
        <v>323</v>
      </c>
      <c r="AN191" t="s">
        <v>67</v>
      </c>
    </row>
    <row r="192" spans="1:40">
      <c r="A192" s="4" t="s">
        <v>315</v>
      </c>
      <c r="B192">
        <v>1992</v>
      </c>
      <c r="C192">
        <v>43</v>
      </c>
      <c r="D192">
        <v>4</v>
      </c>
      <c r="E192">
        <v>6</v>
      </c>
      <c r="F192">
        <v>31</v>
      </c>
      <c r="G192">
        <v>2</v>
      </c>
      <c r="H192">
        <v>1</v>
      </c>
      <c r="I192" t="s">
        <v>316</v>
      </c>
      <c r="J192" t="s">
        <v>317</v>
      </c>
      <c r="K192" t="s">
        <v>334</v>
      </c>
      <c r="L192" t="s">
        <v>408</v>
      </c>
      <c r="M192" t="str">
        <f t="shared" si="4"/>
        <v>Trifolium</v>
      </c>
      <c r="N192" s="7" t="s">
        <v>411</v>
      </c>
      <c r="O192" t="s">
        <v>43</v>
      </c>
      <c r="P192" t="str">
        <f t="shared" si="5"/>
        <v>Moderate</v>
      </c>
      <c r="Q192">
        <v>0.39200000000000002</v>
      </c>
      <c r="R192" s="25">
        <v>330</v>
      </c>
      <c r="S192">
        <v>0</v>
      </c>
      <c r="T192" s="5" t="s">
        <v>321</v>
      </c>
      <c r="U192" s="1" t="s">
        <v>322</v>
      </c>
      <c r="V192" s="1" t="s">
        <v>47</v>
      </c>
      <c r="W192" s="25" t="s">
        <v>43</v>
      </c>
      <c r="X192" s="25">
        <v>0.5</v>
      </c>
      <c r="Y192" t="s">
        <v>76</v>
      </c>
      <c r="Z192" s="25">
        <v>50</v>
      </c>
      <c r="AA192" s="25">
        <v>5</v>
      </c>
      <c r="AB192" s="25">
        <v>5</v>
      </c>
      <c r="AC192" s="25">
        <v>0</v>
      </c>
      <c r="AD192" s="25">
        <v>0</v>
      </c>
      <c r="AE192" s="29">
        <v>0.2</v>
      </c>
      <c r="AF192" s="25">
        <v>20</v>
      </c>
      <c r="AG192" s="25">
        <v>0</v>
      </c>
      <c r="AH192" s="25">
        <v>0</v>
      </c>
      <c r="AI192" s="25">
        <v>0</v>
      </c>
      <c r="AJ192" s="25">
        <v>0</v>
      </c>
      <c r="AK192" s="29">
        <v>8</v>
      </c>
      <c r="AL192">
        <v>25</v>
      </c>
      <c r="AM192" t="s">
        <v>323</v>
      </c>
      <c r="AN192" t="s">
        <v>67</v>
      </c>
    </row>
    <row r="193" spans="1:40">
      <c r="A193" s="4" t="s">
        <v>105</v>
      </c>
      <c r="B193">
        <v>1986</v>
      </c>
      <c r="C193">
        <v>43</v>
      </c>
      <c r="D193">
        <v>4</v>
      </c>
      <c r="E193">
        <v>6</v>
      </c>
      <c r="F193">
        <v>31</v>
      </c>
      <c r="G193">
        <v>2</v>
      </c>
      <c r="H193">
        <v>2</v>
      </c>
      <c r="I193" t="s">
        <v>316</v>
      </c>
      <c r="J193" t="s">
        <v>317</v>
      </c>
      <c r="K193" t="s">
        <v>334</v>
      </c>
      <c r="L193" t="s">
        <v>408</v>
      </c>
      <c r="M193" t="str">
        <f t="shared" si="4"/>
        <v>Trifolium</v>
      </c>
      <c r="N193" s="7" t="s">
        <v>412</v>
      </c>
      <c r="O193" t="s">
        <v>43</v>
      </c>
      <c r="P193" t="str">
        <f t="shared" si="5"/>
        <v>Moderate</v>
      </c>
      <c r="Q193">
        <v>0.44999999999999996</v>
      </c>
      <c r="R193" s="25">
        <v>1000</v>
      </c>
      <c r="S193">
        <v>10</v>
      </c>
      <c r="T193" s="5" t="s">
        <v>110</v>
      </c>
      <c r="U193" s="1" t="s">
        <v>111</v>
      </c>
      <c r="V193" s="1" t="s">
        <v>47</v>
      </c>
      <c r="W193" s="25">
        <v>10</v>
      </c>
      <c r="X193" s="25">
        <v>0.5</v>
      </c>
      <c r="Y193" t="s">
        <v>48</v>
      </c>
      <c r="Z193" s="25">
        <v>100</v>
      </c>
      <c r="AA193" s="25">
        <v>5</v>
      </c>
      <c r="AB193" s="25">
        <v>0</v>
      </c>
      <c r="AC193" s="25">
        <v>5</v>
      </c>
      <c r="AD193" s="25">
        <v>0</v>
      </c>
      <c r="AE193" s="29">
        <v>0.66</v>
      </c>
      <c r="AF193" s="25">
        <v>10</v>
      </c>
      <c r="AG193" s="25">
        <v>0</v>
      </c>
      <c r="AH193" s="25">
        <v>0</v>
      </c>
      <c r="AI193" s="25">
        <v>0</v>
      </c>
      <c r="AJ193" s="25">
        <v>0</v>
      </c>
      <c r="AK193" s="29">
        <v>8</v>
      </c>
      <c r="AL193">
        <v>25</v>
      </c>
      <c r="AM193" t="s">
        <v>43</v>
      </c>
      <c r="AN193" t="s">
        <v>67</v>
      </c>
    </row>
    <row r="194" spans="1:40">
      <c r="A194" s="4" t="s">
        <v>315</v>
      </c>
      <c r="B194">
        <v>1992</v>
      </c>
      <c r="C194">
        <v>43</v>
      </c>
      <c r="D194">
        <v>4</v>
      </c>
      <c r="E194">
        <v>6</v>
      </c>
      <c r="F194">
        <v>31</v>
      </c>
      <c r="G194">
        <v>2</v>
      </c>
      <c r="H194">
        <v>2</v>
      </c>
      <c r="I194" t="s">
        <v>316</v>
      </c>
      <c r="J194" t="s">
        <v>317</v>
      </c>
      <c r="K194" t="s">
        <v>334</v>
      </c>
      <c r="L194" t="s">
        <v>408</v>
      </c>
      <c r="M194" t="str">
        <f t="shared" ref="M194:M257" si="6">LEFT(N194,FIND(" ",N194)-1)</f>
        <v>Trifolium</v>
      </c>
      <c r="N194" s="7" t="s">
        <v>412</v>
      </c>
      <c r="O194" t="s">
        <v>43</v>
      </c>
      <c r="P194" t="str">
        <f t="shared" ref="P194:P257" si="7">IF(Q194&lt;0.17,"Low",IF(Q194&lt;0.48,"Moderate",IF(Q194&lt;0.77,"High", "Very High")))</f>
        <v>Moderate</v>
      </c>
      <c r="Q194">
        <v>0.32800000000000001</v>
      </c>
      <c r="R194" s="25">
        <v>330</v>
      </c>
      <c r="S194">
        <v>0</v>
      </c>
      <c r="T194" s="5" t="s">
        <v>321</v>
      </c>
      <c r="U194" s="1" t="s">
        <v>322</v>
      </c>
      <c r="V194" s="1" t="s">
        <v>47</v>
      </c>
      <c r="W194" s="25" t="s">
        <v>43</v>
      </c>
      <c r="X194" s="25">
        <v>0.5</v>
      </c>
      <c r="Y194" t="s">
        <v>76</v>
      </c>
      <c r="Z194" s="25">
        <v>50</v>
      </c>
      <c r="AA194" s="25">
        <v>5</v>
      </c>
      <c r="AB194" s="25">
        <v>5</v>
      </c>
      <c r="AC194" s="25">
        <v>0</v>
      </c>
      <c r="AD194" s="25">
        <v>0</v>
      </c>
      <c r="AE194" s="29">
        <v>0.2</v>
      </c>
      <c r="AF194" s="25">
        <v>20</v>
      </c>
      <c r="AG194" s="25">
        <v>0</v>
      </c>
      <c r="AH194" s="25">
        <v>0</v>
      </c>
      <c r="AI194" s="25">
        <v>0</v>
      </c>
      <c r="AJ194" s="25">
        <v>0</v>
      </c>
      <c r="AK194" s="29">
        <v>8</v>
      </c>
      <c r="AL194">
        <v>25</v>
      </c>
      <c r="AM194" t="s">
        <v>323</v>
      </c>
      <c r="AN194" t="s">
        <v>67</v>
      </c>
    </row>
    <row r="195" spans="1:40">
      <c r="A195" s="4" t="s">
        <v>105</v>
      </c>
      <c r="B195">
        <v>1986</v>
      </c>
      <c r="C195">
        <v>43</v>
      </c>
      <c r="D195">
        <v>4</v>
      </c>
      <c r="E195">
        <v>6</v>
      </c>
      <c r="F195">
        <v>31</v>
      </c>
      <c r="G195">
        <v>2</v>
      </c>
      <c r="H195">
        <v>3</v>
      </c>
      <c r="I195" t="s">
        <v>316</v>
      </c>
      <c r="J195" t="s">
        <v>317</v>
      </c>
      <c r="K195" t="s">
        <v>334</v>
      </c>
      <c r="L195" t="s">
        <v>408</v>
      </c>
      <c r="M195" t="str">
        <f t="shared" si="6"/>
        <v>Trifolium</v>
      </c>
      <c r="N195" s="7" t="s">
        <v>413</v>
      </c>
      <c r="O195" t="s">
        <v>43</v>
      </c>
      <c r="P195" t="str">
        <f t="shared" si="7"/>
        <v>High</v>
      </c>
      <c r="Q195">
        <v>0.48</v>
      </c>
      <c r="R195" s="25">
        <v>1000</v>
      </c>
      <c r="S195">
        <v>10</v>
      </c>
      <c r="T195" s="5" t="s">
        <v>110</v>
      </c>
      <c r="U195" s="1" t="s">
        <v>111</v>
      </c>
      <c r="V195" s="1" t="s">
        <v>47</v>
      </c>
      <c r="W195" s="25">
        <v>10</v>
      </c>
      <c r="X195" s="25">
        <v>0.5</v>
      </c>
      <c r="Y195" t="s">
        <v>48</v>
      </c>
      <c r="Z195" s="25">
        <v>100</v>
      </c>
      <c r="AA195" s="25">
        <v>5</v>
      </c>
      <c r="AB195" s="25">
        <v>0</v>
      </c>
      <c r="AC195" s="25">
        <v>5</v>
      </c>
      <c r="AD195" s="25">
        <v>0</v>
      </c>
      <c r="AE195" s="29">
        <v>0.66</v>
      </c>
      <c r="AF195" s="25">
        <v>10</v>
      </c>
      <c r="AG195" s="25">
        <v>0</v>
      </c>
      <c r="AH195" s="25">
        <v>0</v>
      </c>
      <c r="AI195" s="25">
        <v>0</v>
      </c>
      <c r="AJ195" s="25">
        <v>0</v>
      </c>
      <c r="AK195" s="29">
        <v>8</v>
      </c>
      <c r="AL195">
        <v>25</v>
      </c>
      <c r="AM195" t="s">
        <v>43</v>
      </c>
      <c r="AN195" t="s">
        <v>67</v>
      </c>
    </row>
    <row r="196" spans="1:40">
      <c r="A196" s="4" t="s">
        <v>315</v>
      </c>
      <c r="B196">
        <v>1992</v>
      </c>
      <c r="C196">
        <v>43</v>
      </c>
      <c r="D196">
        <v>4</v>
      </c>
      <c r="E196">
        <v>6</v>
      </c>
      <c r="F196">
        <v>31</v>
      </c>
      <c r="G196">
        <v>2</v>
      </c>
      <c r="H196">
        <v>3</v>
      </c>
      <c r="I196" t="s">
        <v>316</v>
      </c>
      <c r="J196" t="s">
        <v>317</v>
      </c>
      <c r="K196" t="s">
        <v>334</v>
      </c>
      <c r="L196" t="s">
        <v>408</v>
      </c>
      <c r="M196" t="str">
        <f t="shared" si="6"/>
        <v>Trifolium</v>
      </c>
      <c r="N196" s="7" t="s">
        <v>413</v>
      </c>
      <c r="O196" t="s">
        <v>43</v>
      </c>
      <c r="P196" t="str">
        <f t="shared" si="7"/>
        <v>High</v>
      </c>
      <c r="Q196">
        <v>0.61899999999999999</v>
      </c>
      <c r="R196" s="25">
        <v>330</v>
      </c>
      <c r="S196">
        <v>0</v>
      </c>
      <c r="T196" s="5" t="s">
        <v>321</v>
      </c>
      <c r="U196" s="1" t="s">
        <v>322</v>
      </c>
      <c r="V196" s="1" t="s">
        <v>47</v>
      </c>
      <c r="W196" s="25" t="s">
        <v>43</v>
      </c>
      <c r="X196" s="25">
        <v>0.5</v>
      </c>
      <c r="Y196" t="s">
        <v>76</v>
      </c>
      <c r="Z196" s="25">
        <v>50</v>
      </c>
      <c r="AA196" s="25">
        <v>5</v>
      </c>
      <c r="AB196" s="25">
        <v>5</v>
      </c>
      <c r="AC196" s="25">
        <v>0</v>
      </c>
      <c r="AD196" s="25">
        <v>0</v>
      </c>
      <c r="AE196" s="29">
        <v>0.2</v>
      </c>
      <c r="AF196" s="25">
        <v>20</v>
      </c>
      <c r="AG196" s="25">
        <v>0</v>
      </c>
      <c r="AH196" s="25">
        <v>0</v>
      </c>
      <c r="AI196" s="25">
        <v>0</v>
      </c>
      <c r="AJ196" s="25">
        <v>0</v>
      </c>
      <c r="AK196" s="29">
        <v>8</v>
      </c>
      <c r="AL196">
        <v>25</v>
      </c>
      <c r="AM196" t="s">
        <v>323</v>
      </c>
      <c r="AN196" t="s">
        <v>67</v>
      </c>
    </row>
    <row r="197" spans="1:40">
      <c r="A197" s="4" t="s">
        <v>315</v>
      </c>
      <c r="B197">
        <v>1992</v>
      </c>
      <c r="C197">
        <v>43</v>
      </c>
      <c r="D197">
        <v>4</v>
      </c>
      <c r="E197">
        <v>6</v>
      </c>
      <c r="F197">
        <v>31</v>
      </c>
      <c r="G197">
        <v>3</v>
      </c>
      <c r="H197">
        <v>0</v>
      </c>
      <c r="I197" t="s">
        <v>316</v>
      </c>
      <c r="J197" t="s">
        <v>317</v>
      </c>
      <c r="K197" t="s">
        <v>334</v>
      </c>
      <c r="L197" t="s">
        <v>408</v>
      </c>
      <c r="M197" t="str">
        <f t="shared" si="6"/>
        <v>Medicago</v>
      </c>
      <c r="N197" s="7" t="s">
        <v>414</v>
      </c>
      <c r="O197" t="s">
        <v>43</v>
      </c>
      <c r="P197" t="str">
        <f t="shared" si="7"/>
        <v>Moderate</v>
      </c>
      <c r="Q197">
        <v>0.20599999999999999</v>
      </c>
      <c r="R197" s="25">
        <v>330</v>
      </c>
      <c r="S197">
        <v>0</v>
      </c>
      <c r="T197" s="5" t="s">
        <v>321</v>
      </c>
      <c r="U197" s="1" t="s">
        <v>322</v>
      </c>
      <c r="V197" s="1" t="s">
        <v>47</v>
      </c>
      <c r="W197" s="25" t="s">
        <v>43</v>
      </c>
      <c r="X197" s="25">
        <v>0.5</v>
      </c>
      <c r="Y197" t="s">
        <v>76</v>
      </c>
      <c r="Z197" s="25">
        <v>50</v>
      </c>
      <c r="AA197" s="25">
        <v>5</v>
      </c>
      <c r="AB197" s="25">
        <v>5</v>
      </c>
      <c r="AC197" s="25">
        <v>0</v>
      </c>
      <c r="AD197" s="25">
        <v>0</v>
      </c>
      <c r="AE197" s="29">
        <v>0.2</v>
      </c>
      <c r="AF197" s="25">
        <v>20</v>
      </c>
      <c r="AG197" s="25">
        <v>0</v>
      </c>
      <c r="AH197" s="25">
        <v>0</v>
      </c>
      <c r="AI197" s="25">
        <v>0</v>
      </c>
      <c r="AJ197" s="25">
        <v>0</v>
      </c>
      <c r="AK197" s="29">
        <v>8</v>
      </c>
      <c r="AL197">
        <v>25</v>
      </c>
      <c r="AM197" t="s">
        <v>323</v>
      </c>
      <c r="AN197" t="s">
        <v>67</v>
      </c>
    </row>
    <row r="198" spans="1:40">
      <c r="A198" s="4" t="s">
        <v>315</v>
      </c>
      <c r="B198">
        <v>1992</v>
      </c>
      <c r="C198">
        <v>43</v>
      </c>
      <c r="D198">
        <v>4</v>
      </c>
      <c r="E198">
        <v>6</v>
      </c>
      <c r="F198">
        <v>31</v>
      </c>
      <c r="G198">
        <v>3</v>
      </c>
      <c r="H198">
        <v>0</v>
      </c>
      <c r="I198" t="s">
        <v>316</v>
      </c>
      <c r="J198" t="s">
        <v>317</v>
      </c>
      <c r="K198" t="s">
        <v>334</v>
      </c>
      <c r="L198" t="s">
        <v>408</v>
      </c>
      <c r="M198" t="str">
        <f t="shared" si="6"/>
        <v>Medicago</v>
      </c>
      <c r="N198" s="7" t="s">
        <v>414</v>
      </c>
      <c r="O198" t="s">
        <v>43</v>
      </c>
      <c r="P198" t="str">
        <f t="shared" si="7"/>
        <v>Moderate</v>
      </c>
      <c r="Q198">
        <v>0.374</v>
      </c>
      <c r="R198" s="25">
        <v>330</v>
      </c>
      <c r="S198">
        <v>0</v>
      </c>
      <c r="T198" s="5" t="s">
        <v>321</v>
      </c>
      <c r="U198" s="1" t="s">
        <v>322</v>
      </c>
      <c r="V198" s="1" t="s">
        <v>47</v>
      </c>
      <c r="W198" s="25" t="s">
        <v>43</v>
      </c>
      <c r="X198" s="25">
        <v>0.5</v>
      </c>
      <c r="Y198" t="s">
        <v>76</v>
      </c>
      <c r="Z198" s="25">
        <v>50</v>
      </c>
      <c r="AA198" s="25">
        <v>5</v>
      </c>
      <c r="AB198" s="25">
        <v>5</v>
      </c>
      <c r="AC198" s="25">
        <v>0</v>
      </c>
      <c r="AD198" s="25">
        <v>0</v>
      </c>
      <c r="AE198" s="29">
        <v>0.2</v>
      </c>
      <c r="AF198" s="25">
        <v>20</v>
      </c>
      <c r="AG198" s="25">
        <v>0</v>
      </c>
      <c r="AH198" s="25">
        <v>0</v>
      </c>
      <c r="AI198" s="25">
        <v>0</v>
      </c>
      <c r="AJ198" s="25">
        <v>0</v>
      </c>
      <c r="AK198" s="29">
        <v>8</v>
      </c>
      <c r="AL198">
        <v>25</v>
      </c>
      <c r="AM198" t="s">
        <v>323</v>
      </c>
      <c r="AN198" t="s">
        <v>67</v>
      </c>
    </row>
    <row r="199" spans="1:40">
      <c r="A199" s="4" t="s">
        <v>315</v>
      </c>
      <c r="B199">
        <v>1992</v>
      </c>
      <c r="C199">
        <v>43</v>
      </c>
      <c r="D199">
        <v>4</v>
      </c>
      <c r="E199">
        <v>6</v>
      </c>
      <c r="F199">
        <v>31</v>
      </c>
      <c r="G199">
        <v>4</v>
      </c>
      <c r="H199">
        <v>0</v>
      </c>
      <c r="I199" t="s">
        <v>316</v>
      </c>
      <c r="J199" t="s">
        <v>317</v>
      </c>
      <c r="K199" t="s">
        <v>334</v>
      </c>
      <c r="L199" t="s">
        <v>408</v>
      </c>
      <c r="M199" t="str">
        <f t="shared" si="6"/>
        <v>Melilotus</v>
      </c>
      <c r="N199" s="7" t="s">
        <v>415</v>
      </c>
      <c r="O199" t="s">
        <v>43</v>
      </c>
      <c r="P199" t="str">
        <f t="shared" si="7"/>
        <v>Moderate</v>
      </c>
      <c r="Q199">
        <v>0.45600000000000002</v>
      </c>
      <c r="R199" s="25">
        <v>330</v>
      </c>
      <c r="S199">
        <v>0</v>
      </c>
      <c r="T199" s="5" t="s">
        <v>321</v>
      </c>
      <c r="U199" s="1" t="s">
        <v>322</v>
      </c>
      <c r="V199" s="1" t="s">
        <v>47</v>
      </c>
      <c r="W199" s="25" t="s">
        <v>43</v>
      </c>
      <c r="X199" s="25">
        <v>0.5</v>
      </c>
      <c r="Y199" t="s">
        <v>76</v>
      </c>
      <c r="Z199" s="25">
        <v>50</v>
      </c>
      <c r="AA199" s="25">
        <v>5</v>
      </c>
      <c r="AB199" s="25">
        <v>5</v>
      </c>
      <c r="AC199" s="25">
        <v>0</v>
      </c>
      <c r="AD199" s="25">
        <v>0</v>
      </c>
      <c r="AE199" s="29">
        <v>0.2</v>
      </c>
      <c r="AF199" s="25">
        <v>20</v>
      </c>
      <c r="AG199" s="25">
        <v>0</v>
      </c>
      <c r="AH199" s="25">
        <v>0</v>
      </c>
      <c r="AI199" s="25">
        <v>0</v>
      </c>
      <c r="AJ199" s="25">
        <v>0</v>
      </c>
      <c r="AK199" s="29">
        <v>8</v>
      </c>
      <c r="AL199">
        <v>25</v>
      </c>
      <c r="AM199" t="s">
        <v>323</v>
      </c>
      <c r="AN199" t="s">
        <v>67</v>
      </c>
    </row>
    <row r="200" spans="1:40">
      <c r="A200" s="4" t="s">
        <v>315</v>
      </c>
      <c r="B200">
        <v>1992</v>
      </c>
      <c r="C200">
        <v>43</v>
      </c>
      <c r="D200">
        <v>4</v>
      </c>
      <c r="E200">
        <v>6</v>
      </c>
      <c r="F200">
        <v>31</v>
      </c>
      <c r="G200">
        <v>4</v>
      </c>
      <c r="H200">
        <v>0</v>
      </c>
      <c r="I200" t="s">
        <v>316</v>
      </c>
      <c r="J200" t="s">
        <v>317</v>
      </c>
      <c r="K200" t="s">
        <v>334</v>
      </c>
      <c r="L200" t="s">
        <v>408</v>
      </c>
      <c r="M200" t="str">
        <f t="shared" si="6"/>
        <v>Melilotus</v>
      </c>
      <c r="N200" s="7" t="s">
        <v>416</v>
      </c>
      <c r="O200" t="s">
        <v>43</v>
      </c>
      <c r="P200" t="str">
        <f t="shared" si="7"/>
        <v>High</v>
      </c>
      <c r="Q200">
        <v>0.6</v>
      </c>
      <c r="R200" s="25">
        <v>330</v>
      </c>
      <c r="S200">
        <v>0</v>
      </c>
      <c r="T200" s="5" t="s">
        <v>321</v>
      </c>
      <c r="U200" s="1" t="s">
        <v>322</v>
      </c>
      <c r="V200" s="1" t="s">
        <v>47</v>
      </c>
      <c r="W200" s="25" t="s">
        <v>43</v>
      </c>
      <c r="X200" s="25">
        <v>0.5</v>
      </c>
      <c r="Y200" t="s">
        <v>76</v>
      </c>
      <c r="Z200" s="25">
        <v>50</v>
      </c>
      <c r="AA200" s="25">
        <v>5</v>
      </c>
      <c r="AB200" s="25">
        <v>5</v>
      </c>
      <c r="AC200" s="25">
        <v>0</v>
      </c>
      <c r="AD200" s="25">
        <v>0</v>
      </c>
      <c r="AE200" s="29">
        <v>0.2</v>
      </c>
      <c r="AF200" s="25">
        <v>20</v>
      </c>
      <c r="AG200" s="25">
        <v>0</v>
      </c>
      <c r="AH200" s="25">
        <v>0</v>
      </c>
      <c r="AI200" s="25">
        <v>0</v>
      </c>
      <c r="AJ200" s="25">
        <v>0</v>
      </c>
      <c r="AK200" s="29">
        <v>8</v>
      </c>
      <c r="AL200">
        <v>25</v>
      </c>
      <c r="AM200" t="s">
        <v>323</v>
      </c>
      <c r="AN200" t="s">
        <v>67</v>
      </c>
    </row>
    <row r="201" spans="1:40">
      <c r="A201" s="4" t="s">
        <v>315</v>
      </c>
      <c r="B201">
        <v>1992</v>
      </c>
      <c r="C201">
        <v>43</v>
      </c>
      <c r="D201">
        <v>4</v>
      </c>
      <c r="E201">
        <v>6</v>
      </c>
      <c r="F201">
        <v>31</v>
      </c>
      <c r="G201">
        <v>5</v>
      </c>
      <c r="H201">
        <v>0</v>
      </c>
      <c r="I201" t="s">
        <v>316</v>
      </c>
      <c r="J201" t="s">
        <v>317</v>
      </c>
      <c r="K201" t="s">
        <v>334</v>
      </c>
      <c r="L201" t="s">
        <v>408</v>
      </c>
      <c r="M201" t="str">
        <f t="shared" si="6"/>
        <v>Trigonella</v>
      </c>
      <c r="N201" s="7" t="s">
        <v>417</v>
      </c>
      <c r="O201" t="s">
        <v>43</v>
      </c>
      <c r="P201" t="str">
        <f t="shared" si="7"/>
        <v>Moderate</v>
      </c>
      <c r="Q201">
        <v>0.23699999999999999</v>
      </c>
      <c r="R201" s="25">
        <v>330</v>
      </c>
      <c r="S201">
        <v>0</v>
      </c>
      <c r="T201" s="5" t="s">
        <v>321</v>
      </c>
      <c r="U201" s="1" t="s">
        <v>322</v>
      </c>
      <c r="V201" s="1" t="s">
        <v>47</v>
      </c>
      <c r="W201" s="25" t="s">
        <v>43</v>
      </c>
      <c r="X201" s="25">
        <v>0.5</v>
      </c>
      <c r="Y201" t="s">
        <v>76</v>
      </c>
      <c r="Z201" s="25">
        <v>50</v>
      </c>
      <c r="AA201" s="25">
        <v>5</v>
      </c>
      <c r="AB201" s="25">
        <v>5</v>
      </c>
      <c r="AC201" s="25">
        <v>0</v>
      </c>
      <c r="AD201" s="25">
        <v>0</v>
      </c>
      <c r="AE201" s="29">
        <v>0.2</v>
      </c>
      <c r="AF201" s="25">
        <v>20</v>
      </c>
      <c r="AG201" s="25">
        <v>0</v>
      </c>
      <c r="AH201" s="25">
        <v>0</v>
      </c>
      <c r="AI201" s="25">
        <v>0</v>
      </c>
      <c r="AJ201" s="25">
        <v>0</v>
      </c>
      <c r="AK201" s="29">
        <v>8</v>
      </c>
      <c r="AL201">
        <v>25</v>
      </c>
      <c r="AM201" t="s">
        <v>323</v>
      </c>
      <c r="AN201" t="s">
        <v>67</v>
      </c>
    </row>
    <row r="202" spans="1:40">
      <c r="A202" s="4" t="s">
        <v>315</v>
      </c>
      <c r="B202">
        <v>1992</v>
      </c>
      <c r="C202">
        <v>43</v>
      </c>
      <c r="D202">
        <v>4</v>
      </c>
      <c r="E202">
        <v>6</v>
      </c>
      <c r="F202">
        <v>31</v>
      </c>
      <c r="G202">
        <v>5</v>
      </c>
      <c r="H202">
        <v>0</v>
      </c>
      <c r="I202" t="s">
        <v>316</v>
      </c>
      <c r="J202" t="s">
        <v>317</v>
      </c>
      <c r="K202" t="s">
        <v>334</v>
      </c>
      <c r="L202" t="s">
        <v>408</v>
      </c>
      <c r="M202" t="str">
        <f t="shared" si="6"/>
        <v>Trigonella</v>
      </c>
      <c r="N202" s="7" t="s">
        <v>417</v>
      </c>
      <c r="O202" t="s">
        <v>43</v>
      </c>
      <c r="P202" t="str">
        <f t="shared" si="7"/>
        <v>Moderate</v>
      </c>
      <c r="Q202">
        <v>0.42699999999999999</v>
      </c>
      <c r="R202" s="25">
        <v>330</v>
      </c>
      <c r="S202">
        <v>0</v>
      </c>
      <c r="T202" s="5" t="s">
        <v>321</v>
      </c>
      <c r="U202" s="1" t="s">
        <v>322</v>
      </c>
      <c r="V202" s="1" t="s">
        <v>47</v>
      </c>
      <c r="W202" s="25" t="s">
        <v>43</v>
      </c>
      <c r="X202" s="25">
        <v>0.5</v>
      </c>
      <c r="Y202" t="s">
        <v>76</v>
      </c>
      <c r="Z202" s="25">
        <v>50</v>
      </c>
      <c r="AA202" s="25">
        <v>5</v>
      </c>
      <c r="AB202" s="25">
        <v>5</v>
      </c>
      <c r="AC202" s="25">
        <v>0</v>
      </c>
      <c r="AD202" s="25">
        <v>0</v>
      </c>
      <c r="AE202" s="29">
        <v>0.2</v>
      </c>
      <c r="AF202" s="25">
        <v>20</v>
      </c>
      <c r="AG202" s="25">
        <v>0</v>
      </c>
      <c r="AH202" s="25">
        <v>0</v>
      </c>
      <c r="AI202" s="25">
        <v>0</v>
      </c>
      <c r="AJ202" s="25">
        <v>0</v>
      </c>
      <c r="AK202" s="29">
        <v>8</v>
      </c>
      <c r="AL202">
        <v>25</v>
      </c>
      <c r="AM202" t="s">
        <v>323</v>
      </c>
      <c r="AN202" t="s">
        <v>67</v>
      </c>
    </row>
    <row r="203" spans="1:40">
      <c r="A203" s="4" t="s">
        <v>315</v>
      </c>
      <c r="B203">
        <v>1992</v>
      </c>
      <c r="C203">
        <v>43</v>
      </c>
      <c r="D203">
        <v>4</v>
      </c>
      <c r="E203">
        <v>6</v>
      </c>
      <c r="F203">
        <v>32</v>
      </c>
      <c r="G203">
        <v>5</v>
      </c>
      <c r="H203">
        <v>0</v>
      </c>
      <c r="I203" t="s">
        <v>316</v>
      </c>
      <c r="J203" t="s">
        <v>317</v>
      </c>
      <c r="K203" t="s">
        <v>334</v>
      </c>
      <c r="L203" t="s">
        <v>418</v>
      </c>
      <c r="M203" t="str">
        <f t="shared" si="6"/>
        <v>Hedysarum</v>
      </c>
      <c r="N203" s="7" t="s">
        <v>419</v>
      </c>
      <c r="O203" t="s">
        <v>43</v>
      </c>
      <c r="P203" t="str">
        <f t="shared" si="7"/>
        <v>Low</v>
      </c>
      <c r="Q203">
        <v>0</v>
      </c>
      <c r="R203" s="25">
        <v>330</v>
      </c>
      <c r="S203">
        <v>0</v>
      </c>
      <c r="T203" s="5" t="s">
        <v>321</v>
      </c>
      <c r="U203" s="1" t="s">
        <v>322</v>
      </c>
      <c r="V203" s="1" t="s">
        <v>47</v>
      </c>
      <c r="W203" s="25" t="s">
        <v>43</v>
      </c>
      <c r="X203" s="25">
        <v>0.5</v>
      </c>
      <c r="Y203" t="s">
        <v>76</v>
      </c>
      <c r="Z203" s="25">
        <v>50</v>
      </c>
      <c r="AA203" s="25">
        <v>5</v>
      </c>
      <c r="AB203" s="25">
        <v>5</v>
      </c>
      <c r="AC203" s="25">
        <v>0</v>
      </c>
      <c r="AD203" s="25">
        <v>0</v>
      </c>
      <c r="AE203" s="29">
        <v>0.2</v>
      </c>
      <c r="AF203" s="25">
        <v>20</v>
      </c>
      <c r="AG203" s="25">
        <v>0</v>
      </c>
      <c r="AH203" s="25">
        <v>0</v>
      </c>
      <c r="AI203" s="25">
        <v>0</v>
      </c>
      <c r="AJ203" s="25">
        <v>0</v>
      </c>
      <c r="AK203" s="29">
        <v>8</v>
      </c>
      <c r="AL203">
        <v>25</v>
      </c>
      <c r="AM203" t="s">
        <v>323</v>
      </c>
      <c r="AN203" t="s">
        <v>67</v>
      </c>
    </row>
    <row r="204" spans="1:40">
      <c r="A204" s="4" t="s">
        <v>315</v>
      </c>
      <c r="B204">
        <v>1992</v>
      </c>
      <c r="C204">
        <v>43</v>
      </c>
      <c r="D204">
        <v>4</v>
      </c>
      <c r="E204">
        <v>6</v>
      </c>
      <c r="F204">
        <v>32</v>
      </c>
      <c r="G204">
        <v>5</v>
      </c>
      <c r="H204">
        <v>0</v>
      </c>
      <c r="I204" t="s">
        <v>316</v>
      </c>
      <c r="J204" t="s">
        <v>317</v>
      </c>
      <c r="K204" t="s">
        <v>334</v>
      </c>
      <c r="L204" t="s">
        <v>418</v>
      </c>
      <c r="M204" t="str">
        <f t="shared" si="6"/>
        <v>Hedysarum</v>
      </c>
      <c r="N204" s="7" t="s">
        <v>420</v>
      </c>
      <c r="O204" t="s">
        <v>43</v>
      </c>
      <c r="P204" t="str">
        <f t="shared" si="7"/>
        <v>Low</v>
      </c>
      <c r="Q204">
        <v>4.3999999999999997E-2</v>
      </c>
      <c r="R204" s="25">
        <v>330</v>
      </c>
      <c r="S204">
        <v>0</v>
      </c>
      <c r="T204" s="5" t="s">
        <v>321</v>
      </c>
      <c r="U204" s="1" t="s">
        <v>322</v>
      </c>
      <c r="V204" s="1" t="s">
        <v>47</v>
      </c>
      <c r="W204" s="25" t="s">
        <v>43</v>
      </c>
      <c r="X204" s="25">
        <v>0.5</v>
      </c>
      <c r="Y204" t="s">
        <v>76</v>
      </c>
      <c r="Z204" s="25">
        <v>50</v>
      </c>
      <c r="AA204" s="25">
        <v>5</v>
      </c>
      <c r="AB204" s="25">
        <v>5</v>
      </c>
      <c r="AC204" s="25">
        <v>0</v>
      </c>
      <c r="AD204" s="25">
        <v>0</v>
      </c>
      <c r="AE204" s="29">
        <v>0.2</v>
      </c>
      <c r="AF204" s="25">
        <v>20</v>
      </c>
      <c r="AG204" s="25">
        <v>0</v>
      </c>
      <c r="AH204" s="25">
        <v>0</v>
      </c>
      <c r="AI204" s="25">
        <v>0</v>
      </c>
      <c r="AJ204" s="25">
        <v>0</v>
      </c>
      <c r="AK204" s="29">
        <v>8</v>
      </c>
      <c r="AL204">
        <v>25</v>
      </c>
      <c r="AM204" t="s">
        <v>323</v>
      </c>
      <c r="AN204" t="s">
        <v>67</v>
      </c>
    </row>
    <row r="205" spans="1:40">
      <c r="A205" s="4" t="s">
        <v>315</v>
      </c>
      <c r="B205">
        <v>1992</v>
      </c>
      <c r="C205">
        <v>43</v>
      </c>
      <c r="D205">
        <v>4</v>
      </c>
      <c r="E205">
        <v>6</v>
      </c>
      <c r="F205">
        <v>32</v>
      </c>
      <c r="G205">
        <v>6</v>
      </c>
      <c r="H205">
        <v>0</v>
      </c>
      <c r="I205" t="s">
        <v>316</v>
      </c>
      <c r="J205" t="s">
        <v>317</v>
      </c>
      <c r="K205" t="s">
        <v>334</v>
      </c>
      <c r="L205" t="s">
        <v>418</v>
      </c>
      <c r="M205" t="str">
        <f t="shared" si="6"/>
        <v>Onobrychis</v>
      </c>
      <c r="N205" s="7" t="s">
        <v>421</v>
      </c>
      <c r="O205" t="s">
        <v>43</v>
      </c>
      <c r="P205" t="str">
        <f t="shared" si="7"/>
        <v>Low</v>
      </c>
      <c r="Q205">
        <v>0</v>
      </c>
      <c r="R205" s="25">
        <v>330</v>
      </c>
      <c r="S205">
        <v>0</v>
      </c>
      <c r="T205" s="5" t="s">
        <v>321</v>
      </c>
      <c r="U205" s="1" t="s">
        <v>322</v>
      </c>
      <c r="V205" s="1" t="s">
        <v>47</v>
      </c>
      <c r="W205" s="25" t="s">
        <v>43</v>
      </c>
      <c r="X205" s="25">
        <v>0.5</v>
      </c>
      <c r="Y205" t="s">
        <v>76</v>
      </c>
      <c r="Z205" s="25">
        <v>50</v>
      </c>
      <c r="AA205" s="25">
        <v>5</v>
      </c>
      <c r="AB205" s="25">
        <v>5</v>
      </c>
      <c r="AC205" s="25">
        <v>0</v>
      </c>
      <c r="AD205" s="25">
        <v>0</v>
      </c>
      <c r="AE205" s="29">
        <v>0.2</v>
      </c>
      <c r="AF205" s="25">
        <v>20</v>
      </c>
      <c r="AG205" s="25">
        <v>0</v>
      </c>
      <c r="AH205" s="25">
        <v>0</v>
      </c>
      <c r="AI205" s="25">
        <v>0</v>
      </c>
      <c r="AJ205" s="25">
        <v>0</v>
      </c>
      <c r="AK205" s="29">
        <v>8</v>
      </c>
      <c r="AL205">
        <v>25</v>
      </c>
      <c r="AM205" t="s">
        <v>323</v>
      </c>
      <c r="AN205" t="s">
        <v>67</v>
      </c>
    </row>
    <row r="206" spans="1:40">
      <c r="A206" s="4" t="s">
        <v>315</v>
      </c>
      <c r="B206">
        <v>1992</v>
      </c>
      <c r="C206">
        <v>43</v>
      </c>
      <c r="D206">
        <v>4</v>
      </c>
      <c r="E206">
        <v>6</v>
      </c>
      <c r="F206">
        <v>32</v>
      </c>
      <c r="G206">
        <v>6</v>
      </c>
      <c r="H206">
        <v>0</v>
      </c>
      <c r="I206" t="s">
        <v>316</v>
      </c>
      <c r="J206" t="s">
        <v>317</v>
      </c>
      <c r="K206" t="s">
        <v>334</v>
      </c>
      <c r="L206" t="s">
        <v>418</v>
      </c>
      <c r="M206" t="str">
        <f t="shared" si="6"/>
        <v>Onobrychis</v>
      </c>
      <c r="N206" s="7" t="s">
        <v>421</v>
      </c>
      <c r="O206" t="s">
        <v>43</v>
      </c>
      <c r="P206" t="str">
        <f t="shared" si="7"/>
        <v>Low</v>
      </c>
      <c r="Q206">
        <v>0</v>
      </c>
      <c r="R206" s="25">
        <v>330</v>
      </c>
      <c r="S206">
        <v>0</v>
      </c>
      <c r="T206" s="5" t="s">
        <v>321</v>
      </c>
      <c r="U206" s="1" t="s">
        <v>322</v>
      </c>
      <c r="V206" s="1" t="s">
        <v>47</v>
      </c>
      <c r="W206" s="25" t="s">
        <v>43</v>
      </c>
      <c r="X206" s="25">
        <v>0.5</v>
      </c>
      <c r="Y206" t="s">
        <v>76</v>
      </c>
      <c r="Z206" s="25">
        <v>50</v>
      </c>
      <c r="AA206" s="25">
        <v>5</v>
      </c>
      <c r="AB206" s="25">
        <v>5</v>
      </c>
      <c r="AC206" s="25">
        <v>0</v>
      </c>
      <c r="AD206" s="25">
        <v>0</v>
      </c>
      <c r="AE206" s="29">
        <v>0.2</v>
      </c>
      <c r="AF206" s="25">
        <v>20</v>
      </c>
      <c r="AG206" s="25">
        <v>0</v>
      </c>
      <c r="AH206" s="25">
        <v>0</v>
      </c>
      <c r="AI206" s="25">
        <v>0</v>
      </c>
      <c r="AJ206" s="25">
        <v>0</v>
      </c>
      <c r="AK206" s="29">
        <v>8</v>
      </c>
      <c r="AL206">
        <v>25</v>
      </c>
      <c r="AM206" t="s">
        <v>323</v>
      </c>
      <c r="AN206" t="s">
        <v>67</v>
      </c>
    </row>
    <row r="207" spans="1:40">
      <c r="A207" s="4" t="s">
        <v>315</v>
      </c>
      <c r="B207">
        <v>1992</v>
      </c>
      <c r="C207">
        <v>43</v>
      </c>
      <c r="D207">
        <v>4</v>
      </c>
      <c r="E207">
        <v>6</v>
      </c>
      <c r="F207">
        <v>34</v>
      </c>
      <c r="G207">
        <v>1</v>
      </c>
      <c r="H207">
        <v>0</v>
      </c>
      <c r="I207" t="s">
        <v>316</v>
      </c>
      <c r="J207" t="s">
        <v>317</v>
      </c>
      <c r="K207" t="s">
        <v>334</v>
      </c>
      <c r="L207" t="s">
        <v>422</v>
      </c>
      <c r="M207" t="str">
        <f t="shared" si="6"/>
        <v>Oxytropis</v>
      </c>
      <c r="N207" s="7" t="s">
        <v>423</v>
      </c>
      <c r="O207" t="s">
        <v>43</v>
      </c>
      <c r="P207" t="str">
        <f t="shared" si="7"/>
        <v>Low</v>
      </c>
      <c r="Q207">
        <v>0.104</v>
      </c>
      <c r="R207" s="25">
        <v>330</v>
      </c>
      <c r="S207">
        <v>0</v>
      </c>
      <c r="T207" s="5" t="s">
        <v>321</v>
      </c>
      <c r="U207" s="1" t="s">
        <v>322</v>
      </c>
      <c r="V207" s="1" t="s">
        <v>47</v>
      </c>
      <c r="W207" s="25" t="s">
        <v>43</v>
      </c>
      <c r="X207" s="25">
        <v>0.5</v>
      </c>
      <c r="Y207" t="s">
        <v>76</v>
      </c>
      <c r="Z207" s="25">
        <v>50</v>
      </c>
      <c r="AA207" s="25">
        <v>5</v>
      </c>
      <c r="AB207" s="25">
        <v>5</v>
      </c>
      <c r="AC207" s="25">
        <v>0</v>
      </c>
      <c r="AD207" s="25">
        <v>0</v>
      </c>
      <c r="AE207" s="29">
        <v>0.2</v>
      </c>
      <c r="AF207" s="25">
        <v>20</v>
      </c>
      <c r="AG207" s="25">
        <v>0</v>
      </c>
      <c r="AH207" s="25">
        <v>0</v>
      </c>
      <c r="AI207" s="25">
        <v>0</v>
      </c>
      <c r="AJ207" s="25">
        <v>0</v>
      </c>
      <c r="AK207" s="29">
        <v>8</v>
      </c>
      <c r="AL207">
        <v>25</v>
      </c>
      <c r="AM207" t="s">
        <v>323</v>
      </c>
      <c r="AN207" t="s">
        <v>67</v>
      </c>
    </row>
    <row r="208" spans="1:40">
      <c r="A208" s="4" t="s">
        <v>315</v>
      </c>
      <c r="B208">
        <v>1992</v>
      </c>
      <c r="C208">
        <v>43</v>
      </c>
      <c r="D208">
        <v>4</v>
      </c>
      <c r="E208">
        <v>6</v>
      </c>
      <c r="F208">
        <v>34</v>
      </c>
      <c r="G208">
        <v>1</v>
      </c>
      <c r="H208">
        <v>0</v>
      </c>
      <c r="I208" t="s">
        <v>316</v>
      </c>
      <c r="J208" t="s">
        <v>317</v>
      </c>
      <c r="K208" t="s">
        <v>334</v>
      </c>
      <c r="L208" t="s">
        <v>422</v>
      </c>
      <c r="M208" t="str">
        <f t="shared" si="6"/>
        <v>Oxytropis</v>
      </c>
      <c r="N208" s="7" t="s">
        <v>424</v>
      </c>
      <c r="O208" t="s">
        <v>43</v>
      </c>
      <c r="P208" t="str">
        <f t="shared" si="7"/>
        <v>Moderate</v>
      </c>
      <c r="Q208">
        <v>0.26200000000000001</v>
      </c>
      <c r="R208" s="25">
        <v>330</v>
      </c>
      <c r="S208">
        <v>0</v>
      </c>
      <c r="T208" s="5" t="s">
        <v>321</v>
      </c>
      <c r="U208" s="1" t="s">
        <v>322</v>
      </c>
      <c r="V208" s="1" t="s">
        <v>47</v>
      </c>
      <c r="W208" s="25" t="s">
        <v>43</v>
      </c>
      <c r="X208" s="25">
        <v>0.5</v>
      </c>
      <c r="Y208" t="s">
        <v>76</v>
      </c>
      <c r="Z208" s="25">
        <v>50</v>
      </c>
      <c r="AA208" s="25">
        <v>5</v>
      </c>
      <c r="AB208" s="25">
        <v>5</v>
      </c>
      <c r="AC208" s="25">
        <v>0</v>
      </c>
      <c r="AD208" s="25">
        <v>0</v>
      </c>
      <c r="AE208" s="29">
        <v>0.2</v>
      </c>
      <c r="AF208" s="25">
        <v>20</v>
      </c>
      <c r="AG208" s="25">
        <v>0</v>
      </c>
      <c r="AH208" s="25">
        <v>0</v>
      </c>
      <c r="AI208" s="25">
        <v>0</v>
      </c>
      <c r="AJ208" s="25">
        <v>0</v>
      </c>
      <c r="AK208" s="29">
        <v>8</v>
      </c>
      <c r="AL208">
        <v>25</v>
      </c>
      <c r="AM208" t="s">
        <v>323</v>
      </c>
      <c r="AN208" t="s">
        <v>67</v>
      </c>
    </row>
    <row r="209" spans="1:40">
      <c r="A209" s="4" t="s">
        <v>315</v>
      </c>
      <c r="B209">
        <v>1992</v>
      </c>
      <c r="C209">
        <v>43</v>
      </c>
      <c r="D209">
        <v>4</v>
      </c>
      <c r="E209">
        <v>6</v>
      </c>
      <c r="F209">
        <v>34</v>
      </c>
      <c r="G209">
        <v>3</v>
      </c>
      <c r="H209">
        <v>0</v>
      </c>
      <c r="I209" t="s">
        <v>316</v>
      </c>
      <c r="J209" t="s">
        <v>317</v>
      </c>
      <c r="K209" t="s">
        <v>334</v>
      </c>
      <c r="L209" t="s">
        <v>422</v>
      </c>
      <c r="M209" t="str">
        <f t="shared" si="6"/>
        <v>Astragalus</v>
      </c>
      <c r="N209" s="7" t="s">
        <v>425</v>
      </c>
      <c r="O209" t="s">
        <v>43</v>
      </c>
      <c r="P209" t="str">
        <f t="shared" si="7"/>
        <v>Moderate</v>
      </c>
      <c r="Q209">
        <v>0.437</v>
      </c>
      <c r="R209" s="25">
        <v>330</v>
      </c>
      <c r="S209">
        <v>0</v>
      </c>
      <c r="T209" s="5" t="s">
        <v>321</v>
      </c>
      <c r="U209" s="1" t="s">
        <v>322</v>
      </c>
      <c r="V209" s="1" t="s">
        <v>47</v>
      </c>
      <c r="W209" s="25" t="s">
        <v>43</v>
      </c>
      <c r="X209" s="25">
        <v>0.5</v>
      </c>
      <c r="Y209" t="s">
        <v>76</v>
      </c>
      <c r="Z209" s="25">
        <v>50</v>
      </c>
      <c r="AA209" s="25">
        <v>5</v>
      </c>
      <c r="AB209" s="25">
        <v>5</v>
      </c>
      <c r="AC209" s="25">
        <v>0</v>
      </c>
      <c r="AD209" s="25">
        <v>0</v>
      </c>
      <c r="AE209" s="29">
        <v>0.2</v>
      </c>
      <c r="AF209" s="25">
        <v>20</v>
      </c>
      <c r="AG209" s="25">
        <v>0</v>
      </c>
      <c r="AH209" s="25">
        <v>0</v>
      </c>
      <c r="AI209" s="25">
        <v>0</v>
      </c>
      <c r="AJ209" s="25">
        <v>0</v>
      </c>
      <c r="AK209" s="29">
        <v>8</v>
      </c>
      <c r="AL209">
        <v>25</v>
      </c>
      <c r="AM209" t="s">
        <v>323</v>
      </c>
      <c r="AN209" t="s">
        <v>67</v>
      </c>
    </row>
    <row r="210" spans="1:40">
      <c r="A210" s="4" t="s">
        <v>315</v>
      </c>
      <c r="B210">
        <v>1992</v>
      </c>
      <c r="C210">
        <v>43</v>
      </c>
      <c r="D210">
        <v>4</v>
      </c>
      <c r="E210">
        <v>6</v>
      </c>
      <c r="F210">
        <v>34</v>
      </c>
      <c r="G210">
        <v>3</v>
      </c>
      <c r="H210">
        <v>0</v>
      </c>
      <c r="I210" t="s">
        <v>316</v>
      </c>
      <c r="J210" t="s">
        <v>317</v>
      </c>
      <c r="K210" t="s">
        <v>334</v>
      </c>
      <c r="L210" t="s">
        <v>422</v>
      </c>
      <c r="M210" t="str">
        <f t="shared" si="6"/>
        <v>Astragalus</v>
      </c>
      <c r="N210" s="7" t="s">
        <v>425</v>
      </c>
      <c r="O210" t="s">
        <v>43</v>
      </c>
      <c r="P210" t="str">
        <f t="shared" si="7"/>
        <v>Very High</v>
      </c>
      <c r="Q210">
        <v>0.79500000000000004</v>
      </c>
      <c r="R210" s="25">
        <v>330</v>
      </c>
      <c r="S210">
        <v>0</v>
      </c>
      <c r="T210" s="5" t="s">
        <v>321</v>
      </c>
      <c r="U210" s="1" t="s">
        <v>322</v>
      </c>
      <c r="V210" s="1" t="s">
        <v>47</v>
      </c>
      <c r="W210" s="25" t="s">
        <v>43</v>
      </c>
      <c r="X210" s="25">
        <v>0.5</v>
      </c>
      <c r="Y210" t="s">
        <v>76</v>
      </c>
      <c r="Z210" s="25">
        <v>50</v>
      </c>
      <c r="AA210" s="25">
        <v>5</v>
      </c>
      <c r="AB210" s="25">
        <v>5</v>
      </c>
      <c r="AC210" s="25">
        <v>0</v>
      </c>
      <c r="AD210" s="25">
        <v>0</v>
      </c>
      <c r="AE210" s="29">
        <v>0.2</v>
      </c>
      <c r="AF210" s="25">
        <v>20</v>
      </c>
      <c r="AG210" s="25">
        <v>0</v>
      </c>
      <c r="AH210" s="25">
        <v>0</v>
      </c>
      <c r="AI210" s="25">
        <v>0</v>
      </c>
      <c r="AJ210" s="25">
        <v>0</v>
      </c>
      <c r="AK210" s="29">
        <v>8</v>
      </c>
      <c r="AL210">
        <v>25</v>
      </c>
      <c r="AM210" t="s">
        <v>323</v>
      </c>
      <c r="AN210" t="s">
        <v>67</v>
      </c>
    </row>
    <row r="211" spans="1:40">
      <c r="A211" s="4" t="s">
        <v>315</v>
      </c>
      <c r="B211">
        <v>1992</v>
      </c>
      <c r="C211">
        <v>43</v>
      </c>
      <c r="D211">
        <v>4</v>
      </c>
      <c r="E211">
        <v>6</v>
      </c>
      <c r="F211">
        <v>35</v>
      </c>
      <c r="G211">
        <v>1</v>
      </c>
      <c r="H211">
        <v>0</v>
      </c>
      <c r="I211" t="s">
        <v>316</v>
      </c>
      <c r="J211" t="s">
        <v>317</v>
      </c>
      <c r="K211" t="s">
        <v>334</v>
      </c>
      <c r="L211" t="s">
        <v>426</v>
      </c>
      <c r="M211" t="str">
        <f t="shared" si="6"/>
        <v>Indigofera</v>
      </c>
      <c r="N211" s="7" t="s">
        <v>427</v>
      </c>
      <c r="O211" t="s">
        <v>43</v>
      </c>
      <c r="P211" t="str">
        <f t="shared" si="7"/>
        <v>Moderate</v>
      </c>
      <c r="Q211">
        <v>0.28799999999999998</v>
      </c>
      <c r="R211" s="25">
        <v>330</v>
      </c>
      <c r="S211">
        <v>0</v>
      </c>
      <c r="T211" s="5" t="s">
        <v>321</v>
      </c>
      <c r="U211" s="1" t="s">
        <v>322</v>
      </c>
      <c r="V211" s="1" t="s">
        <v>47</v>
      </c>
      <c r="W211" s="25" t="s">
        <v>43</v>
      </c>
      <c r="X211" s="25">
        <v>0.5</v>
      </c>
      <c r="Y211" t="s">
        <v>76</v>
      </c>
      <c r="Z211" s="25">
        <v>50</v>
      </c>
      <c r="AA211" s="25">
        <v>5</v>
      </c>
      <c r="AB211" s="25">
        <v>5</v>
      </c>
      <c r="AC211" s="25">
        <v>0</v>
      </c>
      <c r="AD211" s="25">
        <v>0</v>
      </c>
      <c r="AE211" s="29">
        <v>0.2</v>
      </c>
      <c r="AF211" s="25">
        <v>20</v>
      </c>
      <c r="AG211" s="25">
        <v>0</v>
      </c>
      <c r="AH211" s="25">
        <v>0</v>
      </c>
      <c r="AI211" s="25">
        <v>0</v>
      </c>
      <c r="AJ211" s="25">
        <v>0</v>
      </c>
      <c r="AK211" s="29">
        <v>8</v>
      </c>
      <c r="AL211">
        <v>25</v>
      </c>
      <c r="AM211" t="s">
        <v>323</v>
      </c>
      <c r="AN211" t="s">
        <v>67</v>
      </c>
    </row>
    <row r="212" spans="1:40">
      <c r="A212" s="4" t="s">
        <v>315</v>
      </c>
      <c r="B212">
        <v>1992</v>
      </c>
      <c r="C212">
        <v>43</v>
      </c>
      <c r="D212">
        <v>4</v>
      </c>
      <c r="E212">
        <v>6</v>
      </c>
      <c r="F212">
        <v>35</v>
      </c>
      <c r="G212">
        <v>2</v>
      </c>
      <c r="H212">
        <v>0</v>
      </c>
      <c r="I212" t="s">
        <v>316</v>
      </c>
      <c r="J212" t="s">
        <v>317</v>
      </c>
      <c r="K212" t="s">
        <v>334</v>
      </c>
      <c r="L212" t="s">
        <v>426</v>
      </c>
      <c r="M212" t="str">
        <f t="shared" si="6"/>
        <v>Cyamopsis</v>
      </c>
      <c r="N212" s="7" t="s">
        <v>428</v>
      </c>
      <c r="O212" t="s">
        <v>43</v>
      </c>
      <c r="P212" t="str">
        <f t="shared" si="7"/>
        <v>Moderate</v>
      </c>
      <c r="Q212">
        <v>0.36899999999999999</v>
      </c>
      <c r="R212" s="25">
        <v>330</v>
      </c>
      <c r="S212">
        <v>0</v>
      </c>
      <c r="T212" s="5" t="s">
        <v>321</v>
      </c>
      <c r="U212" s="1" t="s">
        <v>322</v>
      </c>
      <c r="V212" s="1" t="s">
        <v>47</v>
      </c>
      <c r="W212" s="25" t="s">
        <v>43</v>
      </c>
      <c r="X212" s="25">
        <v>0.5</v>
      </c>
      <c r="Y212" t="s">
        <v>76</v>
      </c>
      <c r="Z212" s="25">
        <v>50</v>
      </c>
      <c r="AA212" s="25">
        <v>5</v>
      </c>
      <c r="AB212" s="25">
        <v>5</v>
      </c>
      <c r="AC212" s="25">
        <v>0</v>
      </c>
      <c r="AD212" s="25">
        <v>0</v>
      </c>
      <c r="AE212" s="29">
        <v>0.2</v>
      </c>
      <c r="AF212" s="25">
        <v>20</v>
      </c>
      <c r="AG212" s="25">
        <v>0</v>
      </c>
      <c r="AH212" s="25">
        <v>0</v>
      </c>
      <c r="AI212" s="25">
        <v>0</v>
      </c>
      <c r="AJ212" s="25">
        <v>0</v>
      </c>
      <c r="AK212" s="29">
        <v>8</v>
      </c>
      <c r="AL212">
        <v>25</v>
      </c>
      <c r="AM212" t="s">
        <v>323</v>
      </c>
      <c r="AN212" t="s">
        <v>67</v>
      </c>
    </row>
    <row r="213" spans="1:40">
      <c r="A213" s="4" t="s">
        <v>315</v>
      </c>
      <c r="B213">
        <v>1992</v>
      </c>
      <c r="C213">
        <v>43</v>
      </c>
      <c r="D213">
        <v>4</v>
      </c>
      <c r="E213">
        <v>6</v>
      </c>
      <c r="F213">
        <v>36</v>
      </c>
      <c r="G213">
        <v>1</v>
      </c>
      <c r="H213">
        <v>0</v>
      </c>
      <c r="I213" t="s">
        <v>316</v>
      </c>
      <c r="J213" t="s">
        <v>317</v>
      </c>
      <c r="K213" t="s">
        <v>334</v>
      </c>
      <c r="L213" t="s">
        <v>429</v>
      </c>
      <c r="M213" t="str">
        <f t="shared" si="6"/>
        <v>Abrus</v>
      </c>
      <c r="N213" s="7" t="s">
        <v>430</v>
      </c>
      <c r="O213" t="s">
        <v>43</v>
      </c>
      <c r="P213" t="str">
        <f t="shared" si="7"/>
        <v>High</v>
      </c>
      <c r="Q213">
        <v>0.62</v>
      </c>
      <c r="R213" s="25">
        <v>330</v>
      </c>
      <c r="S213">
        <v>0</v>
      </c>
      <c r="T213" s="5" t="s">
        <v>321</v>
      </c>
      <c r="U213" s="1" t="s">
        <v>322</v>
      </c>
      <c r="V213" s="1" t="s">
        <v>47</v>
      </c>
      <c r="W213" s="25" t="s">
        <v>43</v>
      </c>
      <c r="X213" s="25">
        <v>0.5</v>
      </c>
      <c r="Y213" t="s">
        <v>76</v>
      </c>
      <c r="Z213" s="25">
        <v>50</v>
      </c>
      <c r="AA213" s="25">
        <v>5</v>
      </c>
      <c r="AB213" s="25">
        <v>5</v>
      </c>
      <c r="AC213" s="25">
        <v>0</v>
      </c>
      <c r="AD213" s="25">
        <v>0</v>
      </c>
      <c r="AE213" s="29">
        <v>0.2</v>
      </c>
      <c r="AF213" s="25">
        <v>20</v>
      </c>
      <c r="AG213" s="25">
        <v>0</v>
      </c>
      <c r="AH213" s="25">
        <v>0</v>
      </c>
      <c r="AI213" s="25">
        <v>0</v>
      </c>
      <c r="AJ213" s="25">
        <v>0</v>
      </c>
      <c r="AK213" s="29">
        <v>8</v>
      </c>
      <c r="AL213">
        <v>25</v>
      </c>
      <c r="AM213" t="s">
        <v>323</v>
      </c>
      <c r="AN213" t="s">
        <v>67</v>
      </c>
    </row>
    <row r="214" spans="1:40">
      <c r="A214" s="4" t="s">
        <v>315</v>
      </c>
      <c r="B214">
        <v>1992</v>
      </c>
      <c r="C214">
        <v>43</v>
      </c>
      <c r="D214">
        <v>4</v>
      </c>
      <c r="E214">
        <v>6</v>
      </c>
      <c r="F214">
        <v>38</v>
      </c>
      <c r="G214">
        <v>6</v>
      </c>
      <c r="H214">
        <v>0</v>
      </c>
      <c r="I214" t="s">
        <v>316</v>
      </c>
      <c r="J214" t="s">
        <v>317</v>
      </c>
      <c r="K214" t="s">
        <v>334</v>
      </c>
      <c r="L214" t="s">
        <v>431</v>
      </c>
      <c r="M214" t="str">
        <f t="shared" si="6"/>
        <v>Tephrosia</v>
      </c>
      <c r="N214" s="7" t="s">
        <v>432</v>
      </c>
      <c r="O214" t="s">
        <v>43</v>
      </c>
      <c r="P214" t="str">
        <f t="shared" si="7"/>
        <v>Moderate</v>
      </c>
      <c r="Q214">
        <v>0.42799999999999999</v>
      </c>
      <c r="R214" s="25">
        <v>330</v>
      </c>
      <c r="S214">
        <v>0</v>
      </c>
      <c r="T214" s="5" t="s">
        <v>321</v>
      </c>
      <c r="U214" s="1" t="s">
        <v>322</v>
      </c>
      <c r="V214" s="1" t="s">
        <v>47</v>
      </c>
      <c r="W214" s="25" t="s">
        <v>43</v>
      </c>
      <c r="X214" s="25">
        <v>0.5</v>
      </c>
      <c r="Y214" t="s">
        <v>76</v>
      </c>
      <c r="Z214" s="25">
        <v>50</v>
      </c>
      <c r="AA214" s="25">
        <v>5</v>
      </c>
      <c r="AB214" s="25">
        <v>5</v>
      </c>
      <c r="AC214" s="25">
        <v>0</v>
      </c>
      <c r="AD214" s="25">
        <v>0</v>
      </c>
      <c r="AE214" s="29">
        <v>0.2</v>
      </c>
      <c r="AF214" s="25">
        <v>20</v>
      </c>
      <c r="AG214" s="25">
        <v>0</v>
      </c>
      <c r="AH214" s="25">
        <v>0</v>
      </c>
      <c r="AI214" s="25">
        <v>0</v>
      </c>
      <c r="AJ214" s="25">
        <v>0</v>
      </c>
      <c r="AK214" s="29">
        <v>8</v>
      </c>
      <c r="AL214">
        <v>25</v>
      </c>
      <c r="AM214" t="s">
        <v>323</v>
      </c>
      <c r="AN214" t="s">
        <v>67</v>
      </c>
    </row>
    <row r="215" spans="1:40">
      <c r="A215" s="4" t="s">
        <v>315</v>
      </c>
      <c r="B215">
        <v>1992</v>
      </c>
      <c r="C215">
        <v>43</v>
      </c>
      <c r="D215">
        <v>4</v>
      </c>
      <c r="E215">
        <v>6</v>
      </c>
      <c r="F215">
        <v>38</v>
      </c>
      <c r="G215">
        <v>6</v>
      </c>
      <c r="H215">
        <v>0</v>
      </c>
      <c r="I215" t="s">
        <v>316</v>
      </c>
      <c r="J215" t="s">
        <v>317</v>
      </c>
      <c r="K215" t="s">
        <v>334</v>
      </c>
      <c r="L215" t="s">
        <v>431</v>
      </c>
      <c r="M215" t="str">
        <f t="shared" si="6"/>
        <v>Tephrosia</v>
      </c>
      <c r="N215" s="7" t="s">
        <v>433</v>
      </c>
      <c r="O215" t="s">
        <v>43</v>
      </c>
      <c r="P215" t="str">
        <f t="shared" si="7"/>
        <v>High</v>
      </c>
      <c r="Q215">
        <v>0.52</v>
      </c>
      <c r="R215" s="25">
        <v>330</v>
      </c>
      <c r="S215">
        <v>0</v>
      </c>
      <c r="T215" s="5" t="s">
        <v>321</v>
      </c>
      <c r="U215" s="1" t="s">
        <v>322</v>
      </c>
      <c r="V215" s="1" t="s">
        <v>47</v>
      </c>
      <c r="W215" s="25" t="s">
        <v>43</v>
      </c>
      <c r="X215" s="25">
        <v>0.5</v>
      </c>
      <c r="Y215" t="s">
        <v>76</v>
      </c>
      <c r="Z215" s="25">
        <v>50</v>
      </c>
      <c r="AA215" s="25">
        <v>5</v>
      </c>
      <c r="AB215" s="25">
        <v>5</v>
      </c>
      <c r="AC215" s="25">
        <v>0</v>
      </c>
      <c r="AD215" s="25">
        <v>0</v>
      </c>
      <c r="AE215" s="29">
        <v>0.2</v>
      </c>
      <c r="AF215" s="25">
        <v>20</v>
      </c>
      <c r="AG215" s="25">
        <v>0</v>
      </c>
      <c r="AH215" s="25">
        <v>0</v>
      </c>
      <c r="AI215" s="25">
        <v>0</v>
      </c>
      <c r="AJ215" s="25">
        <v>0</v>
      </c>
      <c r="AK215" s="29">
        <v>8</v>
      </c>
      <c r="AL215">
        <v>25</v>
      </c>
      <c r="AM215" t="s">
        <v>323</v>
      </c>
      <c r="AN215" t="s">
        <v>67</v>
      </c>
    </row>
    <row r="216" spans="1:40">
      <c r="A216" s="4" t="s">
        <v>315</v>
      </c>
      <c r="B216">
        <v>1992</v>
      </c>
      <c r="C216">
        <v>43</v>
      </c>
      <c r="D216">
        <v>4</v>
      </c>
      <c r="E216">
        <v>6</v>
      </c>
      <c r="F216">
        <v>43</v>
      </c>
      <c r="G216">
        <v>2</v>
      </c>
      <c r="H216">
        <v>0</v>
      </c>
      <c r="I216" t="s">
        <v>316</v>
      </c>
      <c r="J216" t="s">
        <v>317</v>
      </c>
      <c r="K216" t="s">
        <v>334</v>
      </c>
      <c r="L216" t="s">
        <v>434</v>
      </c>
      <c r="M216" t="str">
        <f t="shared" si="6"/>
        <v>Lespedeza</v>
      </c>
      <c r="N216" s="7" t="s">
        <v>435</v>
      </c>
      <c r="O216" t="s">
        <v>43</v>
      </c>
      <c r="P216" t="str">
        <f t="shared" si="7"/>
        <v>High</v>
      </c>
      <c r="Q216">
        <v>0.752</v>
      </c>
      <c r="R216" s="25">
        <v>330</v>
      </c>
      <c r="S216">
        <v>0</v>
      </c>
      <c r="T216" s="5" t="s">
        <v>321</v>
      </c>
      <c r="U216" s="1" t="s">
        <v>322</v>
      </c>
      <c r="V216" s="1" t="s">
        <v>47</v>
      </c>
      <c r="W216" s="25" t="s">
        <v>43</v>
      </c>
      <c r="X216" s="25">
        <v>0.5</v>
      </c>
      <c r="Y216" t="s">
        <v>76</v>
      </c>
      <c r="Z216" s="25">
        <v>50</v>
      </c>
      <c r="AA216" s="25">
        <v>5</v>
      </c>
      <c r="AB216" s="25">
        <v>5</v>
      </c>
      <c r="AC216" s="25">
        <v>0</v>
      </c>
      <c r="AD216" s="25">
        <v>0</v>
      </c>
      <c r="AE216" s="29">
        <v>0.2</v>
      </c>
      <c r="AF216" s="25">
        <v>20</v>
      </c>
      <c r="AG216" s="25">
        <v>0</v>
      </c>
      <c r="AH216" s="25">
        <v>0</v>
      </c>
      <c r="AI216" s="25">
        <v>0</v>
      </c>
      <c r="AJ216" s="25">
        <v>0</v>
      </c>
      <c r="AK216" s="29">
        <v>8</v>
      </c>
      <c r="AL216">
        <v>25</v>
      </c>
      <c r="AM216" t="s">
        <v>323</v>
      </c>
      <c r="AN216" t="s">
        <v>67</v>
      </c>
    </row>
    <row r="217" spans="1:40">
      <c r="A217" s="4" t="s">
        <v>315</v>
      </c>
      <c r="B217">
        <v>1992</v>
      </c>
      <c r="C217">
        <v>43</v>
      </c>
      <c r="D217">
        <v>4</v>
      </c>
      <c r="E217">
        <v>6</v>
      </c>
      <c r="F217">
        <v>43</v>
      </c>
      <c r="G217">
        <v>2</v>
      </c>
      <c r="H217">
        <v>0</v>
      </c>
      <c r="I217" t="s">
        <v>316</v>
      </c>
      <c r="J217" t="s">
        <v>317</v>
      </c>
      <c r="K217" t="s">
        <v>334</v>
      </c>
      <c r="L217" t="s">
        <v>434</v>
      </c>
      <c r="M217" t="str">
        <f t="shared" si="6"/>
        <v>Lespedeza</v>
      </c>
      <c r="N217" s="7" t="s">
        <v>436</v>
      </c>
      <c r="O217" t="s">
        <v>43</v>
      </c>
      <c r="P217" t="str">
        <f t="shared" si="7"/>
        <v>Moderate</v>
      </c>
      <c r="Q217">
        <v>0.28000000000000003</v>
      </c>
      <c r="R217" s="25">
        <v>330</v>
      </c>
      <c r="S217">
        <v>0</v>
      </c>
      <c r="T217" s="5" t="s">
        <v>321</v>
      </c>
      <c r="U217" s="1" t="s">
        <v>322</v>
      </c>
      <c r="V217" s="1" t="s">
        <v>47</v>
      </c>
      <c r="W217" s="25" t="s">
        <v>43</v>
      </c>
      <c r="X217" s="25">
        <v>0.5</v>
      </c>
      <c r="Y217" t="s">
        <v>76</v>
      </c>
      <c r="Z217" s="25">
        <v>50</v>
      </c>
      <c r="AA217" s="25">
        <v>5</v>
      </c>
      <c r="AB217" s="25">
        <v>5</v>
      </c>
      <c r="AC217" s="25">
        <v>0</v>
      </c>
      <c r="AD217" s="25">
        <v>0</v>
      </c>
      <c r="AE217" s="29">
        <v>0.2</v>
      </c>
      <c r="AF217" s="25">
        <v>20</v>
      </c>
      <c r="AG217" s="25">
        <v>0</v>
      </c>
      <c r="AH217" s="25">
        <v>0</v>
      </c>
      <c r="AI217" s="25">
        <v>0</v>
      </c>
      <c r="AJ217" s="25">
        <v>0</v>
      </c>
      <c r="AK217" s="29">
        <v>8</v>
      </c>
      <c r="AL217">
        <v>25</v>
      </c>
      <c r="AM217" t="s">
        <v>323</v>
      </c>
      <c r="AN217" t="s">
        <v>67</v>
      </c>
    </row>
    <row r="218" spans="1:40">
      <c r="A218" s="4" t="s">
        <v>315</v>
      </c>
      <c r="B218">
        <v>1992</v>
      </c>
      <c r="C218">
        <v>43</v>
      </c>
      <c r="D218">
        <v>4</v>
      </c>
      <c r="E218">
        <v>6</v>
      </c>
      <c r="F218">
        <v>43</v>
      </c>
      <c r="G218">
        <v>12</v>
      </c>
      <c r="H218">
        <v>0</v>
      </c>
      <c r="I218" t="s">
        <v>316</v>
      </c>
      <c r="J218" t="s">
        <v>317</v>
      </c>
      <c r="K218" t="s">
        <v>334</v>
      </c>
      <c r="L218" t="s">
        <v>434</v>
      </c>
      <c r="M218" t="str">
        <f t="shared" si="6"/>
        <v>Desmodium</v>
      </c>
      <c r="N218" s="7" t="s">
        <v>437</v>
      </c>
      <c r="O218" t="s">
        <v>43</v>
      </c>
      <c r="P218" t="str">
        <f t="shared" si="7"/>
        <v>High</v>
      </c>
      <c r="Q218">
        <v>0.56200000000000006</v>
      </c>
      <c r="R218" s="25">
        <v>330</v>
      </c>
      <c r="S218">
        <v>0</v>
      </c>
      <c r="T218" s="5" t="s">
        <v>321</v>
      </c>
      <c r="U218" s="1" t="s">
        <v>322</v>
      </c>
      <c r="V218" s="1" t="s">
        <v>47</v>
      </c>
      <c r="W218" s="25" t="s">
        <v>43</v>
      </c>
      <c r="X218" s="25">
        <v>0.5</v>
      </c>
      <c r="Y218" t="s">
        <v>76</v>
      </c>
      <c r="Z218" s="25">
        <v>50</v>
      </c>
      <c r="AA218" s="25">
        <v>5</v>
      </c>
      <c r="AB218" s="25">
        <v>5</v>
      </c>
      <c r="AC218" s="25">
        <v>0</v>
      </c>
      <c r="AD218" s="25">
        <v>0</v>
      </c>
      <c r="AE218" s="29">
        <v>0.2</v>
      </c>
      <c r="AF218" s="25">
        <v>20</v>
      </c>
      <c r="AG218" s="25">
        <v>0</v>
      </c>
      <c r="AH218" s="25">
        <v>0</v>
      </c>
      <c r="AI218" s="25">
        <v>0</v>
      </c>
      <c r="AJ218" s="25">
        <v>0</v>
      </c>
      <c r="AK218" s="29">
        <v>8</v>
      </c>
      <c r="AL218">
        <v>25</v>
      </c>
      <c r="AM218" t="s">
        <v>323</v>
      </c>
      <c r="AN218" t="s">
        <v>67</v>
      </c>
    </row>
    <row r="219" spans="1:40">
      <c r="A219" s="4" t="s">
        <v>112</v>
      </c>
      <c r="B219">
        <v>1993</v>
      </c>
      <c r="C219">
        <v>43</v>
      </c>
      <c r="D219">
        <v>4</v>
      </c>
      <c r="E219">
        <v>6</v>
      </c>
      <c r="F219">
        <v>44</v>
      </c>
      <c r="G219">
        <v>43</v>
      </c>
      <c r="H219">
        <v>0</v>
      </c>
      <c r="I219" t="s">
        <v>316</v>
      </c>
      <c r="J219" t="s">
        <v>317</v>
      </c>
      <c r="K219" t="s">
        <v>334</v>
      </c>
      <c r="L219" t="s">
        <v>438</v>
      </c>
      <c r="M219" t="str">
        <f t="shared" si="6"/>
        <v>Pueraria</v>
      </c>
      <c r="N219" s="7" t="s">
        <v>439</v>
      </c>
      <c r="O219" t="s">
        <v>440</v>
      </c>
      <c r="P219" t="str">
        <f t="shared" si="7"/>
        <v>Moderate</v>
      </c>
      <c r="Q219">
        <v>0.23</v>
      </c>
      <c r="R219" s="25">
        <v>1200</v>
      </c>
      <c r="S219">
        <v>100</v>
      </c>
      <c r="T219" s="5" t="s">
        <v>114</v>
      </c>
      <c r="U219" s="1" t="s">
        <v>115</v>
      </c>
      <c r="V219" s="1" t="s">
        <v>47</v>
      </c>
      <c r="W219" s="25">
        <v>10</v>
      </c>
      <c r="X219" s="25">
        <v>0.5</v>
      </c>
      <c r="Y219" t="s">
        <v>48</v>
      </c>
      <c r="Z219" s="25">
        <v>100</v>
      </c>
      <c r="AA219" s="25">
        <v>28</v>
      </c>
      <c r="AB219" s="25">
        <v>1</v>
      </c>
      <c r="AC219" s="25">
        <v>0</v>
      </c>
      <c r="AD219" s="25">
        <v>1</v>
      </c>
      <c r="AE219" s="29" t="s">
        <v>43</v>
      </c>
      <c r="AF219" s="25">
        <v>20</v>
      </c>
      <c r="AG219" s="25">
        <v>0</v>
      </c>
      <c r="AH219" s="25">
        <v>2</v>
      </c>
      <c r="AI219" s="25">
        <v>0</v>
      </c>
      <c r="AJ219" s="25">
        <v>0</v>
      </c>
      <c r="AK219" s="29">
        <v>8</v>
      </c>
      <c r="AL219">
        <v>25</v>
      </c>
      <c r="AM219" t="s">
        <v>116</v>
      </c>
      <c r="AN219" t="s">
        <v>67</v>
      </c>
    </row>
    <row r="220" spans="1:40">
      <c r="A220" s="4" t="s">
        <v>441</v>
      </c>
      <c r="B220">
        <v>1983</v>
      </c>
      <c r="C220">
        <v>43</v>
      </c>
      <c r="D220">
        <v>4</v>
      </c>
      <c r="E220">
        <v>6</v>
      </c>
      <c r="F220">
        <v>44</v>
      </c>
      <c r="G220">
        <v>46</v>
      </c>
      <c r="H220">
        <v>0</v>
      </c>
      <c r="I220" t="s">
        <v>316</v>
      </c>
      <c r="J220" t="s">
        <v>317</v>
      </c>
      <c r="K220" t="s">
        <v>334</v>
      </c>
      <c r="L220" t="s">
        <v>438</v>
      </c>
      <c r="M220" t="str">
        <f t="shared" si="6"/>
        <v>Glycine</v>
      </c>
      <c r="N220" s="7" t="s">
        <v>442</v>
      </c>
      <c r="O220" t="s">
        <v>443</v>
      </c>
      <c r="P220" t="str">
        <f t="shared" si="7"/>
        <v>Moderate</v>
      </c>
      <c r="Q220">
        <f>1-(339.8/571.9)</f>
        <v>0.40584018184997372</v>
      </c>
      <c r="R220" s="25">
        <v>600</v>
      </c>
      <c r="S220">
        <v>0</v>
      </c>
      <c r="T220" s="5" t="s">
        <v>444</v>
      </c>
      <c r="U220" s="1" t="s">
        <v>56</v>
      </c>
      <c r="V220" s="1" t="s">
        <v>47</v>
      </c>
      <c r="W220" s="25">
        <v>10</v>
      </c>
      <c r="X220" s="25">
        <v>0.75</v>
      </c>
      <c r="Y220" t="s">
        <v>76</v>
      </c>
      <c r="Z220" s="25">
        <v>50</v>
      </c>
      <c r="AA220" s="25">
        <v>10</v>
      </c>
      <c r="AB220" s="25">
        <v>5</v>
      </c>
      <c r="AC220" s="25">
        <v>0</v>
      </c>
      <c r="AD220" s="25">
        <v>0.1</v>
      </c>
      <c r="AE220" s="29">
        <v>0.5</v>
      </c>
      <c r="AF220" s="25">
        <v>20</v>
      </c>
      <c r="AG220" s="25">
        <v>0</v>
      </c>
      <c r="AH220" s="25">
        <v>0</v>
      </c>
      <c r="AI220" s="25">
        <v>0</v>
      </c>
      <c r="AJ220" s="25">
        <v>0</v>
      </c>
      <c r="AK220" s="29">
        <v>8.5</v>
      </c>
      <c r="AL220">
        <v>30</v>
      </c>
      <c r="AM220" t="s">
        <v>43</v>
      </c>
      <c r="AN220" t="s">
        <v>67</v>
      </c>
    </row>
    <row r="221" spans="1:40">
      <c r="A221" s="4" t="s">
        <v>441</v>
      </c>
      <c r="B221">
        <v>1983</v>
      </c>
      <c r="C221">
        <v>43</v>
      </c>
      <c r="D221">
        <v>4</v>
      </c>
      <c r="E221">
        <v>6</v>
      </c>
      <c r="F221">
        <v>44</v>
      </c>
      <c r="G221">
        <v>46</v>
      </c>
      <c r="H221">
        <v>0</v>
      </c>
      <c r="I221" t="s">
        <v>316</v>
      </c>
      <c r="J221" t="s">
        <v>317</v>
      </c>
      <c r="K221" t="s">
        <v>334</v>
      </c>
      <c r="L221" t="s">
        <v>438</v>
      </c>
      <c r="M221" t="str">
        <f t="shared" si="6"/>
        <v>Glycine</v>
      </c>
      <c r="N221" s="7" t="s">
        <v>442</v>
      </c>
      <c r="O221" t="s">
        <v>443</v>
      </c>
      <c r="P221" t="str">
        <f t="shared" si="7"/>
        <v>High</v>
      </c>
      <c r="Q221">
        <f>1-(231.28/603.26)</f>
        <v>0.61661638431190524</v>
      </c>
      <c r="R221" s="25">
        <v>800</v>
      </c>
      <c r="S221">
        <v>0</v>
      </c>
      <c r="T221" s="5" t="s">
        <v>444</v>
      </c>
      <c r="U221" s="1" t="s">
        <v>56</v>
      </c>
      <c r="V221" s="1" t="s">
        <v>47</v>
      </c>
      <c r="W221" s="25">
        <v>10</v>
      </c>
      <c r="X221" s="25">
        <v>0.75</v>
      </c>
      <c r="Y221" t="s">
        <v>76</v>
      </c>
      <c r="Z221" s="25">
        <v>50</v>
      </c>
      <c r="AA221" s="25">
        <v>10</v>
      </c>
      <c r="AB221" s="25">
        <v>5</v>
      </c>
      <c r="AC221" s="25">
        <v>0</v>
      </c>
      <c r="AD221" s="25">
        <v>0.1</v>
      </c>
      <c r="AE221" s="29">
        <v>0.5</v>
      </c>
      <c r="AF221" s="25">
        <v>20</v>
      </c>
      <c r="AG221" s="25">
        <v>0</v>
      </c>
      <c r="AH221" s="25">
        <v>0</v>
      </c>
      <c r="AI221" s="25">
        <v>0</v>
      </c>
      <c r="AJ221" s="25">
        <v>0</v>
      </c>
      <c r="AK221" s="29">
        <v>8.5</v>
      </c>
      <c r="AL221">
        <v>30</v>
      </c>
      <c r="AM221" t="s">
        <v>43</v>
      </c>
      <c r="AN221" t="s">
        <v>67</v>
      </c>
    </row>
    <row r="222" spans="1:40">
      <c r="A222" s="4" t="s">
        <v>445</v>
      </c>
      <c r="B222">
        <v>1984</v>
      </c>
      <c r="C222">
        <v>43</v>
      </c>
      <c r="D222">
        <v>4</v>
      </c>
      <c r="E222">
        <v>6</v>
      </c>
      <c r="F222">
        <v>44</v>
      </c>
      <c r="G222">
        <v>46</v>
      </c>
      <c r="H222">
        <v>0</v>
      </c>
      <c r="I222" t="s">
        <v>316</v>
      </c>
      <c r="J222" t="s">
        <v>317</v>
      </c>
      <c r="K222" t="s">
        <v>334</v>
      </c>
      <c r="L222" t="s">
        <v>438</v>
      </c>
      <c r="M222" t="str">
        <f t="shared" si="6"/>
        <v>Glycine</v>
      </c>
      <c r="N222" s="7" t="s">
        <v>442</v>
      </c>
      <c r="O222" t="s">
        <v>446</v>
      </c>
      <c r="P222" t="str">
        <f t="shared" si="7"/>
        <v>High</v>
      </c>
      <c r="Q222">
        <f>1-(0.253/0.612)</f>
        <v>0.5866013071895424</v>
      </c>
      <c r="R222" s="25">
        <v>1600</v>
      </c>
      <c r="S222">
        <v>0</v>
      </c>
      <c r="T222" s="5" t="s">
        <v>447</v>
      </c>
      <c r="U222" s="1" t="s">
        <v>448</v>
      </c>
      <c r="V222" s="1" t="s">
        <v>47</v>
      </c>
      <c r="W222" s="25" t="s">
        <v>43</v>
      </c>
      <c r="X222" s="25" t="s">
        <v>43</v>
      </c>
      <c r="Y222" t="s">
        <v>76</v>
      </c>
      <c r="Z222" s="25">
        <v>50</v>
      </c>
      <c r="AA222" s="25">
        <v>5</v>
      </c>
      <c r="AB222" s="25">
        <v>1</v>
      </c>
      <c r="AC222" s="25" t="s">
        <v>43</v>
      </c>
      <c r="AD222" s="25">
        <v>0</v>
      </c>
      <c r="AE222" s="29">
        <v>0.5</v>
      </c>
      <c r="AF222" s="25">
        <v>20</v>
      </c>
      <c r="AG222" s="25">
        <v>0</v>
      </c>
      <c r="AH222" s="25">
        <v>0</v>
      </c>
      <c r="AI222" s="25">
        <v>0</v>
      </c>
      <c r="AJ222" s="25">
        <v>0</v>
      </c>
      <c r="AK222" s="29">
        <v>8</v>
      </c>
      <c r="AL222">
        <v>25</v>
      </c>
      <c r="AM222" t="s">
        <v>43</v>
      </c>
      <c r="AN222" t="s">
        <v>67</v>
      </c>
    </row>
    <row r="223" spans="1:40">
      <c r="A223" s="4" t="s">
        <v>68</v>
      </c>
      <c r="B223">
        <v>1984</v>
      </c>
      <c r="C223">
        <v>43</v>
      </c>
      <c r="D223">
        <v>4</v>
      </c>
      <c r="E223">
        <v>6</v>
      </c>
      <c r="F223">
        <v>44</v>
      </c>
      <c r="G223">
        <v>46</v>
      </c>
      <c r="H223">
        <v>0</v>
      </c>
      <c r="I223" t="s">
        <v>316</v>
      </c>
      <c r="J223" t="s">
        <v>317</v>
      </c>
      <c r="K223" t="s">
        <v>334</v>
      </c>
      <c r="L223" t="s">
        <v>438</v>
      </c>
      <c r="M223" t="str">
        <f t="shared" si="6"/>
        <v>Glycine</v>
      </c>
      <c r="N223" s="7" t="s">
        <v>442</v>
      </c>
      <c r="O223" t="s">
        <v>443</v>
      </c>
      <c r="P223" t="str">
        <f t="shared" si="7"/>
        <v>High</v>
      </c>
      <c r="Q223">
        <v>0.60658202472435685</v>
      </c>
      <c r="R223" s="27">
        <v>1000</v>
      </c>
      <c r="S223" s="6">
        <v>0</v>
      </c>
      <c r="T223" s="5" t="s">
        <v>74</v>
      </c>
      <c r="U223" t="s">
        <v>75</v>
      </c>
      <c r="V223" s="1" t="s">
        <v>47</v>
      </c>
      <c r="W223" s="25" t="s">
        <v>43</v>
      </c>
      <c r="X223" s="25">
        <v>0.75</v>
      </c>
      <c r="Y223" t="s">
        <v>76</v>
      </c>
      <c r="Z223" s="25">
        <v>50</v>
      </c>
      <c r="AA223" s="25">
        <v>10</v>
      </c>
      <c r="AB223" s="25">
        <v>5</v>
      </c>
      <c r="AC223" s="25">
        <v>0</v>
      </c>
      <c r="AD223" s="25">
        <v>0.1</v>
      </c>
      <c r="AE223" s="29">
        <v>0.5</v>
      </c>
      <c r="AF223" s="25">
        <v>20</v>
      </c>
      <c r="AG223" s="25">
        <v>0</v>
      </c>
      <c r="AH223" s="25">
        <v>0</v>
      </c>
      <c r="AI223" s="25">
        <v>0</v>
      </c>
      <c r="AJ223" s="25">
        <v>0</v>
      </c>
      <c r="AK223" s="29">
        <v>8.5</v>
      </c>
      <c r="AL223">
        <v>30</v>
      </c>
      <c r="AM223" t="s">
        <v>43</v>
      </c>
      <c r="AN223" t="s">
        <v>67</v>
      </c>
    </row>
    <row r="224" spans="1:40">
      <c r="A224" s="4" t="s">
        <v>172</v>
      </c>
      <c r="B224">
        <v>1985</v>
      </c>
      <c r="C224">
        <v>43</v>
      </c>
      <c r="D224">
        <v>4</v>
      </c>
      <c r="E224">
        <v>6</v>
      </c>
      <c r="F224">
        <v>44</v>
      </c>
      <c r="G224">
        <v>46</v>
      </c>
      <c r="H224">
        <v>0</v>
      </c>
      <c r="I224" t="s">
        <v>316</v>
      </c>
      <c r="J224" t="s">
        <v>317</v>
      </c>
      <c r="K224" t="s">
        <v>334</v>
      </c>
      <c r="L224" t="s">
        <v>438</v>
      </c>
      <c r="M224" t="str">
        <f t="shared" si="6"/>
        <v>Glycine</v>
      </c>
      <c r="N224" s="7" t="s">
        <v>442</v>
      </c>
      <c r="O224" t="s">
        <v>43</v>
      </c>
      <c r="P224" t="str">
        <f t="shared" si="7"/>
        <v>High</v>
      </c>
      <c r="Q224">
        <v>0.64</v>
      </c>
      <c r="R224" s="25">
        <v>1000</v>
      </c>
      <c r="S224">
        <v>0</v>
      </c>
      <c r="T224" s="5" t="s">
        <v>173</v>
      </c>
      <c r="U224" s="2" t="s">
        <v>88</v>
      </c>
      <c r="V224" s="1" t="s">
        <v>47</v>
      </c>
      <c r="W224" s="25">
        <v>10</v>
      </c>
      <c r="X224" s="25">
        <v>0.5</v>
      </c>
      <c r="Y224" t="s">
        <v>48</v>
      </c>
      <c r="Z224" s="25">
        <v>100</v>
      </c>
      <c r="AA224" s="25">
        <v>20</v>
      </c>
      <c r="AB224" s="25">
        <v>5</v>
      </c>
      <c r="AC224" s="25" t="s">
        <v>43</v>
      </c>
      <c r="AD224" s="25">
        <v>0.1</v>
      </c>
      <c r="AE224" s="29">
        <v>0.5</v>
      </c>
      <c r="AF224" s="25">
        <v>10</v>
      </c>
      <c r="AG224" s="25">
        <v>0</v>
      </c>
      <c r="AH224" s="25">
        <v>0</v>
      </c>
      <c r="AI224" s="25">
        <v>0</v>
      </c>
      <c r="AJ224" s="25">
        <v>0</v>
      </c>
      <c r="AK224" s="29">
        <v>7.8</v>
      </c>
      <c r="AL224">
        <v>25</v>
      </c>
      <c r="AM224" t="s">
        <v>43</v>
      </c>
      <c r="AN224" t="s">
        <v>67</v>
      </c>
    </row>
    <row r="225" spans="1:40">
      <c r="A225" s="4" t="s">
        <v>105</v>
      </c>
      <c r="B225">
        <v>1986</v>
      </c>
      <c r="C225">
        <v>43</v>
      </c>
      <c r="D225">
        <v>4</v>
      </c>
      <c r="E225">
        <v>6</v>
      </c>
      <c r="F225">
        <v>44</v>
      </c>
      <c r="G225">
        <v>46</v>
      </c>
      <c r="H225">
        <v>0</v>
      </c>
      <c r="I225" t="s">
        <v>316</v>
      </c>
      <c r="J225" t="s">
        <v>317</v>
      </c>
      <c r="K225" t="s">
        <v>334</v>
      </c>
      <c r="L225" t="s">
        <v>438</v>
      </c>
      <c r="M225" t="str">
        <f t="shared" si="6"/>
        <v>Glycine</v>
      </c>
      <c r="N225" s="7" t="s">
        <v>442</v>
      </c>
      <c r="O225" t="s">
        <v>43</v>
      </c>
      <c r="P225" t="str">
        <f t="shared" si="7"/>
        <v>High</v>
      </c>
      <c r="Q225">
        <v>0.625</v>
      </c>
      <c r="R225" s="25">
        <v>1000</v>
      </c>
      <c r="S225">
        <v>10</v>
      </c>
      <c r="T225" s="5" t="s">
        <v>110</v>
      </c>
      <c r="U225" s="1" t="s">
        <v>111</v>
      </c>
      <c r="V225" s="1" t="s">
        <v>47</v>
      </c>
      <c r="W225" s="25">
        <v>10</v>
      </c>
      <c r="X225" s="25">
        <v>0.5</v>
      </c>
      <c r="Y225" t="s">
        <v>48</v>
      </c>
      <c r="Z225" s="25">
        <v>100</v>
      </c>
      <c r="AA225" s="25">
        <v>5</v>
      </c>
      <c r="AB225" s="25">
        <v>0</v>
      </c>
      <c r="AC225" s="25">
        <v>5</v>
      </c>
      <c r="AD225" s="25">
        <v>0</v>
      </c>
      <c r="AE225" s="29">
        <v>0.66</v>
      </c>
      <c r="AF225" s="25">
        <v>10</v>
      </c>
      <c r="AG225" s="25">
        <v>0</v>
      </c>
      <c r="AH225" s="25">
        <v>0</v>
      </c>
      <c r="AI225" s="25">
        <v>0</v>
      </c>
      <c r="AJ225" s="25">
        <v>0</v>
      </c>
      <c r="AK225" s="29">
        <v>8</v>
      </c>
      <c r="AL225">
        <v>25</v>
      </c>
      <c r="AM225" t="s">
        <v>43</v>
      </c>
      <c r="AN225" t="s">
        <v>67</v>
      </c>
    </row>
    <row r="226" spans="1:40">
      <c r="A226" s="4" t="s">
        <v>449</v>
      </c>
      <c r="B226">
        <v>1987</v>
      </c>
      <c r="C226">
        <v>43</v>
      </c>
      <c r="D226">
        <v>4</v>
      </c>
      <c r="E226">
        <v>6</v>
      </c>
      <c r="F226">
        <v>44</v>
      </c>
      <c r="G226">
        <v>46</v>
      </c>
      <c r="H226">
        <v>0</v>
      </c>
      <c r="I226" t="s">
        <v>316</v>
      </c>
      <c r="J226" t="s">
        <v>317</v>
      </c>
      <c r="K226" t="s">
        <v>334</v>
      </c>
      <c r="L226" t="s">
        <v>438</v>
      </c>
      <c r="M226" t="str">
        <f t="shared" si="6"/>
        <v>Glycine</v>
      </c>
      <c r="N226" s="7" t="s">
        <v>442</v>
      </c>
      <c r="O226" t="s">
        <v>443</v>
      </c>
      <c r="P226" t="str">
        <f t="shared" si="7"/>
        <v>High</v>
      </c>
      <c r="Q226">
        <v>0.52</v>
      </c>
      <c r="R226" s="25">
        <v>690</v>
      </c>
      <c r="S226">
        <v>15</v>
      </c>
      <c r="T226" s="5" t="s">
        <v>450</v>
      </c>
      <c r="U226" s="1" t="s">
        <v>56</v>
      </c>
      <c r="V226" s="1" t="s">
        <v>47</v>
      </c>
      <c r="W226" s="25">
        <v>10</v>
      </c>
      <c r="X226" s="25">
        <v>0.75</v>
      </c>
      <c r="Y226" t="s">
        <v>76</v>
      </c>
      <c r="Z226" s="25">
        <v>50</v>
      </c>
      <c r="AA226" s="25">
        <v>10</v>
      </c>
      <c r="AB226" s="25">
        <v>5</v>
      </c>
      <c r="AC226" s="25">
        <v>0</v>
      </c>
      <c r="AD226" s="25">
        <v>0.1</v>
      </c>
      <c r="AE226" s="29">
        <v>0.5</v>
      </c>
      <c r="AF226" s="25">
        <v>10</v>
      </c>
      <c r="AG226" s="25">
        <v>0</v>
      </c>
      <c r="AH226" s="25">
        <v>0</v>
      </c>
      <c r="AI226" s="25">
        <v>0</v>
      </c>
      <c r="AJ226" s="25">
        <v>0</v>
      </c>
      <c r="AK226" s="29">
        <v>8</v>
      </c>
      <c r="AL226">
        <v>30</v>
      </c>
      <c r="AM226" t="s">
        <v>451</v>
      </c>
      <c r="AN226" t="s">
        <v>67</v>
      </c>
    </row>
    <row r="227" spans="1:40">
      <c r="A227" s="4" t="s">
        <v>452</v>
      </c>
      <c r="B227">
        <v>1987</v>
      </c>
      <c r="C227">
        <v>43</v>
      </c>
      <c r="D227">
        <v>4</v>
      </c>
      <c r="E227">
        <v>6</v>
      </c>
      <c r="F227">
        <v>44</v>
      </c>
      <c r="G227">
        <v>46</v>
      </c>
      <c r="H227">
        <v>0</v>
      </c>
      <c r="I227" t="s">
        <v>316</v>
      </c>
      <c r="J227" t="s">
        <v>317</v>
      </c>
      <c r="K227" t="s">
        <v>334</v>
      </c>
      <c r="L227" t="s">
        <v>438</v>
      </c>
      <c r="M227" t="str">
        <f t="shared" si="6"/>
        <v>Glycine</v>
      </c>
      <c r="N227" s="7" t="s">
        <v>442</v>
      </c>
      <c r="O227" t="s">
        <v>443</v>
      </c>
      <c r="P227" t="str">
        <f t="shared" si="7"/>
        <v>High</v>
      </c>
      <c r="Q227">
        <f>1-(390/780)</f>
        <v>0.5</v>
      </c>
      <c r="R227" s="25">
        <v>1000</v>
      </c>
      <c r="S227">
        <v>0</v>
      </c>
      <c r="T227" s="5" t="s">
        <v>453</v>
      </c>
      <c r="U227" s="1" t="s">
        <v>75</v>
      </c>
      <c r="V227" s="1" t="s">
        <v>47</v>
      </c>
      <c r="W227" s="25" t="s">
        <v>43</v>
      </c>
      <c r="X227" s="25">
        <v>0.75</v>
      </c>
      <c r="Y227" t="s">
        <v>76</v>
      </c>
      <c r="Z227" s="25">
        <v>50</v>
      </c>
      <c r="AA227" s="25">
        <v>10</v>
      </c>
      <c r="AB227" s="25">
        <v>5</v>
      </c>
      <c r="AC227" s="25">
        <v>0</v>
      </c>
      <c r="AD227" s="25">
        <v>0.1</v>
      </c>
      <c r="AE227" s="29">
        <v>0.5</v>
      </c>
      <c r="AF227" s="25" t="s">
        <v>43</v>
      </c>
      <c r="AG227" s="25">
        <v>0</v>
      </c>
      <c r="AH227" s="25">
        <v>0</v>
      </c>
      <c r="AI227" s="25">
        <v>0</v>
      </c>
      <c r="AJ227" s="25">
        <v>0</v>
      </c>
      <c r="AK227" s="29">
        <v>8.5</v>
      </c>
      <c r="AL227">
        <v>30</v>
      </c>
      <c r="AM227" t="s">
        <v>43</v>
      </c>
      <c r="AN227" t="s">
        <v>209</v>
      </c>
    </row>
    <row r="228" spans="1:40">
      <c r="A228" s="4" t="s">
        <v>85</v>
      </c>
      <c r="B228">
        <v>1989</v>
      </c>
      <c r="C228">
        <v>43</v>
      </c>
      <c r="D228">
        <v>4</v>
      </c>
      <c r="E228">
        <v>6</v>
      </c>
      <c r="F228">
        <v>44</v>
      </c>
      <c r="G228">
        <v>46</v>
      </c>
      <c r="H228">
        <v>0</v>
      </c>
      <c r="I228" t="s">
        <v>316</v>
      </c>
      <c r="J228" t="s">
        <v>317</v>
      </c>
      <c r="K228" t="s">
        <v>334</v>
      </c>
      <c r="L228" t="s">
        <v>438</v>
      </c>
      <c r="M228" t="str">
        <f t="shared" si="6"/>
        <v>Glycine</v>
      </c>
      <c r="N228" s="7" t="s">
        <v>442</v>
      </c>
      <c r="O228" t="s">
        <v>454</v>
      </c>
      <c r="P228" t="str">
        <f t="shared" si="7"/>
        <v>Moderate</v>
      </c>
      <c r="Q228">
        <f>1-(10.51/17.562)</f>
        <v>0.40154879854230729</v>
      </c>
      <c r="R228" s="25">
        <v>500</v>
      </c>
      <c r="S228">
        <v>0</v>
      </c>
      <c r="T228" s="5" t="s">
        <v>87</v>
      </c>
      <c r="U228" s="1" t="s">
        <v>88</v>
      </c>
      <c r="V228" s="1" t="s">
        <v>47</v>
      </c>
      <c r="W228" s="25">
        <v>10</v>
      </c>
      <c r="X228" s="25">
        <v>0.5</v>
      </c>
      <c r="Y228" t="s">
        <v>48</v>
      </c>
      <c r="Z228" s="25">
        <v>100</v>
      </c>
      <c r="AA228" s="25">
        <v>10</v>
      </c>
      <c r="AB228" s="25">
        <v>1</v>
      </c>
      <c r="AC228" s="25">
        <v>0</v>
      </c>
      <c r="AD228" s="25">
        <v>0.1</v>
      </c>
      <c r="AE228" s="29">
        <v>0.5</v>
      </c>
      <c r="AF228" s="25">
        <v>20</v>
      </c>
      <c r="AG228" s="25">
        <v>0</v>
      </c>
      <c r="AH228" s="25">
        <v>0</v>
      </c>
      <c r="AI228" s="25">
        <v>0</v>
      </c>
      <c r="AJ228" s="25">
        <v>0</v>
      </c>
      <c r="AK228" s="29">
        <v>7.8</v>
      </c>
      <c r="AL228">
        <v>25</v>
      </c>
      <c r="AM228" t="s">
        <v>43</v>
      </c>
      <c r="AN228" t="s">
        <v>89</v>
      </c>
    </row>
    <row r="229" spans="1:40">
      <c r="A229" s="4" t="s">
        <v>117</v>
      </c>
      <c r="B229">
        <v>1990</v>
      </c>
      <c r="C229">
        <v>43</v>
      </c>
      <c r="D229">
        <v>4</v>
      </c>
      <c r="E229">
        <v>6</v>
      </c>
      <c r="F229">
        <v>44</v>
      </c>
      <c r="G229">
        <v>46</v>
      </c>
      <c r="H229">
        <v>0</v>
      </c>
      <c r="I229" t="s">
        <v>316</v>
      </c>
      <c r="J229" t="s">
        <v>317</v>
      </c>
      <c r="K229" t="s">
        <v>334</v>
      </c>
      <c r="L229" t="s">
        <v>438</v>
      </c>
      <c r="M229" t="str">
        <f t="shared" si="6"/>
        <v>Glycine</v>
      </c>
      <c r="N229" s="7" t="s">
        <v>442</v>
      </c>
      <c r="O229" t="s">
        <v>443</v>
      </c>
      <c r="P229" t="str">
        <f t="shared" si="7"/>
        <v>Moderate</v>
      </c>
      <c r="Q229">
        <v>0.4</v>
      </c>
      <c r="R229" s="25">
        <v>500</v>
      </c>
      <c r="S229">
        <v>0</v>
      </c>
      <c r="T229" s="5" t="s">
        <v>123</v>
      </c>
      <c r="U229" s="2" t="s">
        <v>124</v>
      </c>
      <c r="V229" s="1" t="s">
        <v>47</v>
      </c>
      <c r="W229" s="25">
        <v>30</v>
      </c>
      <c r="X229" s="25" t="s">
        <v>43</v>
      </c>
      <c r="Y229" t="s">
        <v>48</v>
      </c>
      <c r="Z229" s="25">
        <v>100</v>
      </c>
      <c r="AA229" s="25">
        <v>25</v>
      </c>
      <c r="AB229" s="25">
        <v>1</v>
      </c>
      <c r="AC229" s="25">
        <v>0</v>
      </c>
      <c r="AD229" s="25">
        <v>0</v>
      </c>
      <c r="AE229" s="29">
        <v>0.6</v>
      </c>
      <c r="AF229" s="25">
        <v>10</v>
      </c>
      <c r="AG229" s="25">
        <v>0</v>
      </c>
      <c r="AH229" s="25">
        <v>0</v>
      </c>
      <c r="AI229" s="25">
        <v>0</v>
      </c>
      <c r="AJ229" s="25">
        <v>0</v>
      </c>
      <c r="AK229" s="29">
        <v>8</v>
      </c>
      <c r="AL229">
        <v>25</v>
      </c>
      <c r="AM229" t="s">
        <v>125</v>
      </c>
      <c r="AN229" t="s">
        <v>67</v>
      </c>
    </row>
    <row r="230" spans="1:40">
      <c r="A230" s="4" t="s">
        <v>117</v>
      </c>
      <c r="B230">
        <v>1990</v>
      </c>
      <c r="C230">
        <v>43</v>
      </c>
      <c r="D230">
        <v>4</v>
      </c>
      <c r="E230">
        <v>6</v>
      </c>
      <c r="F230">
        <v>44</v>
      </c>
      <c r="G230">
        <v>46</v>
      </c>
      <c r="H230">
        <v>0</v>
      </c>
      <c r="I230" t="s">
        <v>316</v>
      </c>
      <c r="J230" t="s">
        <v>317</v>
      </c>
      <c r="K230" t="s">
        <v>334</v>
      </c>
      <c r="L230" t="s">
        <v>438</v>
      </c>
      <c r="M230" t="str">
        <f t="shared" si="6"/>
        <v>Glycine</v>
      </c>
      <c r="N230" s="7" t="s">
        <v>442</v>
      </c>
      <c r="O230" s="2" t="s">
        <v>455</v>
      </c>
      <c r="P230" t="str">
        <f t="shared" si="7"/>
        <v>Moderate</v>
      </c>
      <c r="Q230">
        <v>0.37</v>
      </c>
      <c r="R230" s="25">
        <v>500</v>
      </c>
      <c r="S230">
        <v>0</v>
      </c>
      <c r="T230" s="5" t="s">
        <v>123</v>
      </c>
      <c r="U230" s="2" t="s">
        <v>124</v>
      </c>
      <c r="V230" s="1" t="s">
        <v>47</v>
      </c>
      <c r="W230" s="25">
        <v>30</v>
      </c>
      <c r="X230" s="25" t="s">
        <v>43</v>
      </c>
      <c r="Y230" t="s">
        <v>48</v>
      </c>
      <c r="Z230" s="25">
        <v>100</v>
      </c>
      <c r="AA230" s="25">
        <v>25</v>
      </c>
      <c r="AB230" s="25">
        <v>1</v>
      </c>
      <c r="AC230" s="25">
        <v>0</v>
      </c>
      <c r="AD230" s="25">
        <v>0</v>
      </c>
      <c r="AE230" s="29">
        <v>0.6</v>
      </c>
      <c r="AF230" s="25">
        <v>10</v>
      </c>
      <c r="AG230" s="25">
        <v>0</v>
      </c>
      <c r="AH230" s="25">
        <v>0</v>
      </c>
      <c r="AI230" s="25">
        <v>0</v>
      </c>
      <c r="AJ230" s="25">
        <v>0</v>
      </c>
      <c r="AK230" s="29">
        <v>8</v>
      </c>
      <c r="AL230">
        <v>25</v>
      </c>
      <c r="AM230" t="s">
        <v>125</v>
      </c>
      <c r="AN230" t="s">
        <v>67</v>
      </c>
    </row>
    <row r="231" spans="1:40">
      <c r="A231" s="4" t="s">
        <v>117</v>
      </c>
      <c r="B231">
        <v>1990</v>
      </c>
      <c r="C231">
        <v>43</v>
      </c>
      <c r="D231">
        <v>4</v>
      </c>
      <c r="E231">
        <v>6</v>
      </c>
      <c r="F231">
        <v>44</v>
      </c>
      <c r="G231">
        <v>46</v>
      </c>
      <c r="H231">
        <v>0</v>
      </c>
      <c r="I231" t="s">
        <v>316</v>
      </c>
      <c r="J231" t="s">
        <v>317</v>
      </c>
      <c r="K231" t="s">
        <v>334</v>
      </c>
      <c r="L231" t="s">
        <v>438</v>
      </c>
      <c r="M231" t="str">
        <f t="shared" si="6"/>
        <v>Glycine</v>
      </c>
      <c r="N231" s="7" t="s">
        <v>442</v>
      </c>
      <c r="O231" t="s">
        <v>456</v>
      </c>
      <c r="P231" t="str">
        <f t="shared" si="7"/>
        <v>Moderate</v>
      </c>
      <c r="Q231">
        <v>0.21</v>
      </c>
      <c r="R231" s="25">
        <v>500</v>
      </c>
      <c r="S231">
        <v>0</v>
      </c>
      <c r="T231" s="5" t="s">
        <v>123</v>
      </c>
      <c r="U231" s="2" t="s">
        <v>124</v>
      </c>
      <c r="V231" s="1" t="s">
        <v>47</v>
      </c>
      <c r="W231" s="25">
        <v>30</v>
      </c>
      <c r="X231" s="25" t="s">
        <v>43</v>
      </c>
      <c r="Y231" t="s">
        <v>48</v>
      </c>
      <c r="Z231" s="25">
        <v>100</v>
      </c>
      <c r="AA231" s="25">
        <v>25</v>
      </c>
      <c r="AB231" s="25">
        <v>1</v>
      </c>
      <c r="AC231" s="25">
        <v>0</v>
      </c>
      <c r="AD231" s="25">
        <v>0</v>
      </c>
      <c r="AE231" s="29">
        <v>0.6</v>
      </c>
      <c r="AF231" s="25">
        <v>10</v>
      </c>
      <c r="AG231" s="25">
        <v>0</v>
      </c>
      <c r="AH231" s="25">
        <v>0</v>
      </c>
      <c r="AI231" s="25">
        <v>0</v>
      </c>
      <c r="AJ231" s="25">
        <v>0</v>
      </c>
      <c r="AK231" s="29">
        <v>8</v>
      </c>
      <c r="AL231">
        <v>25</v>
      </c>
      <c r="AM231" t="s">
        <v>125</v>
      </c>
      <c r="AN231" t="s">
        <v>67</v>
      </c>
    </row>
    <row r="232" spans="1:40">
      <c r="A232" s="4" t="s">
        <v>117</v>
      </c>
      <c r="B232">
        <v>1990</v>
      </c>
      <c r="C232">
        <v>43</v>
      </c>
      <c r="D232">
        <v>4</v>
      </c>
      <c r="E232">
        <v>6</v>
      </c>
      <c r="F232">
        <v>44</v>
      </c>
      <c r="G232">
        <v>46</v>
      </c>
      <c r="H232">
        <v>0</v>
      </c>
      <c r="I232" t="s">
        <v>316</v>
      </c>
      <c r="J232" t="s">
        <v>317</v>
      </c>
      <c r="K232" t="s">
        <v>334</v>
      </c>
      <c r="L232" t="s">
        <v>438</v>
      </c>
      <c r="M232" t="str">
        <f t="shared" si="6"/>
        <v>Glycine</v>
      </c>
      <c r="N232" s="7" t="s">
        <v>442</v>
      </c>
      <c r="O232" t="s">
        <v>457</v>
      </c>
      <c r="P232" t="str">
        <f t="shared" si="7"/>
        <v>Moderate</v>
      </c>
      <c r="Q232">
        <v>0.28000000000000003</v>
      </c>
      <c r="R232" s="25">
        <v>500</v>
      </c>
      <c r="S232">
        <v>0</v>
      </c>
      <c r="T232" s="5" t="s">
        <v>123</v>
      </c>
      <c r="U232" s="2" t="s">
        <v>124</v>
      </c>
      <c r="V232" s="1" t="s">
        <v>47</v>
      </c>
      <c r="W232" s="25">
        <v>30</v>
      </c>
      <c r="X232" s="25" t="s">
        <v>43</v>
      </c>
      <c r="Y232" t="s">
        <v>48</v>
      </c>
      <c r="Z232" s="25">
        <v>100</v>
      </c>
      <c r="AA232" s="25">
        <v>25</v>
      </c>
      <c r="AB232" s="25">
        <v>1</v>
      </c>
      <c r="AC232" s="25">
        <v>0</v>
      </c>
      <c r="AD232" s="25">
        <v>0</v>
      </c>
      <c r="AE232" s="29">
        <v>0.6</v>
      </c>
      <c r="AF232" s="25">
        <v>10</v>
      </c>
      <c r="AG232" s="25">
        <v>0</v>
      </c>
      <c r="AH232" s="25">
        <v>0</v>
      </c>
      <c r="AI232" s="25">
        <v>0</v>
      </c>
      <c r="AJ232" s="25">
        <v>0</v>
      </c>
      <c r="AK232" s="29">
        <v>8</v>
      </c>
      <c r="AL232">
        <v>25</v>
      </c>
      <c r="AM232" t="s">
        <v>125</v>
      </c>
      <c r="AN232" t="s">
        <v>67</v>
      </c>
    </row>
    <row r="233" spans="1:40">
      <c r="A233" s="4" t="s">
        <v>117</v>
      </c>
      <c r="B233">
        <v>1990</v>
      </c>
      <c r="C233">
        <v>43</v>
      </c>
      <c r="D233">
        <v>4</v>
      </c>
      <c r="E233">
        <v>6</v>
      </c>
      <c r="F233">
        <v>44</v>
      </c>
      <c r="G233">
        <v>46</v>
      </c>
      <c r="H233">
        <v>0</v>
      </c>
      <c r="I233" t="s">
        <v>316</v>
      </c>
      <c r="J233" t="s">
        <v>317</v>
      </c>
      <c r="K233" t="s">
        <v>334</v>
      </c>
      <c r="L233" t="s">
        <v>438</v>
      </c>
      <c r="M233" t="str">
        <f t="shared" si="6"/>
        <v>Glycine</v>
      </c>
      <c r="N233" s="7" t="s">
        <v>442</v>
      </c>
      <c r="O233" t="s">
        <v>458</v>
      </c>
      <c r="P233" t="str">
        <f t="shared" si="7"/>
        <v>Moderate</v>
      </c>
      <c r="Q233">
        <v>0.39</v>
      </c>
      <c r="R233" s="25">
        <v>500</v>
      </c>
      <c r="S233">
        <v>0</v>
      </c>
      <c r="T233" s="5" t="s">
        <v>123</v>
      </c>
      <c r="U233" s="2" t="s">
        <v>124</v>
      </c>
      <c r="V233" s="1" t="s">
        <v>47</v>
      </c>
      <c r="W233" s="25">
        <v>30</v>
      </c>
      <c r="X233" s="25" t="s">
        <v>43</v>
      </c>
      <c r="Y233" t="s">
        <v>48</v>
      </c>
      <c r="Z233" s="25">
        <v>100</v>
      </c>
      <c r="AA233" s="25">
        <v>25</v>
      </c>
      <c r="AB233" s="25">
        <v>1</v>
      </c>
      <c r="AC233" s="25">
        <v>0</v>
      </c>
      <c r="AD233" s="25">
        <v>0</v>
      </c>
      <c r="AE233" s="29">
        <v>0.6</v>
      </c>
      <c r="AF233" s="25">
        <v>10</v>
      </c>
      <c r="AG233" s="25">
        <v>0</v>
      </c>
      <c r="AH233" s="25">
        <v>0</v>
      </c>
      <c r="AI233" s="25">
        <v>0</v>
      </c>
      <c r="AJ233" s="25">
        <v>0</v>
      </c>
      <c r="AK233" s="29">
        <v>8</v>
      </c>
      <c r="AL233">
        <v>25</v>
      </c>
      <c r="AM233" t="s">
        <v>125</v>
      </c>
      <c r="AN233" t="s">
        <v>67</v>
      </c>
    </row>
    <row r="234" spans="1:40">
      <c r="A234" s="4" t="s">
        <v>459</v>
      </c>
      <c r="B234">
        <v>1990</v>
      </c>
      <c r="C234">
        <v>43</v>
      </c>
      <c r="D234">
        <v>4</v>
      </c>
      <c r="E234">
        <v>6</v>
      </c>
      <c r="F234">
        <v>44</v>
      </c>
      <c r="G234">
        <v>46</v>
      </c>
      <c r="H234">
        <v>0</v>
      </c>
      <c r="I234" t="s">
        <v>316</v>
      </c>
      <c r="J234" t="s">
        <v>317</v>
      </c>
      <c r="K234" t="s">
        <v>334</v>
      </c>
      <c r="L234" t="s">
        <v>438</v>
      </c>
      <c r="M234" t="str">
        <f t="shared" si="6"/>
        <v>Glycine</v>
      </c>
      <c r="N234" s="7" t="s">
        <v>442</v>
      </c>
      <c r="O234" t="s">
        <v>454</v>
      </c>
      <c r="P234" t="str">
        <f t="shared" si="7"/>
        <v>Low</v>
      </c>
      <c r="Q234">
        <f>1-(11.56/13.57)</f>
        <v>0.14812085482682391</v>
      </c>
      <c r="R234" s="25">
        <v>1200</v>
      </c>
      <c r="S234">
        <v>25</v>
      </c>
      <c r="T234" s="5" t="s">
        <v>460</v>
      </c>
      <c r="U234" s="1" t="s">
        <v>461</v>
      </c>
      <c r="V234" s="1" t="s">
        <v>47</v>
      </c>
      <c r="W234" s="25">
        <v>10</v>
      </c>
      <c r="X234" s="25">
        <v>0.5</v>
      </c>
      <c r="Y234" t="s">
        <v>48</v>
      </c>
      <c r="Z234" s="25">
        <v>100</v>
      </c>
      <c r="AA234" s="25">
        <v>20</v>
      </c>
      <c r="AB234" s="25">
        <v>5</v>
      </c>
      <c r="AC234" s="25">
        <v>0</v>
      </c>
      <c r="AD234" s="25">
        <v>1</v>
      </c>
      <c r="AE234" s="29">
        <v>1.5</v>
      </c>
      <c r="AF234" s="25">
        <v>10</v>
      </c>
      <c r="AG234" s="25">
        <v>0</v>
      </c>
      <c r="AH234" s="25">
        <v>0</v>
      </c>
      <c r="AI234" s="25">
        <v>0</v>
      </c>
      <c r="AJ234" s="25">
        <v>0</v>
      </c>
      <c r="AK234" s="29">
        <v>8.1999999999999993</v>
      </c>
      <c r="AL234">
        <v>25</v>
      </c>
      <c r="AM234" t="s">
        <v>43</v>
      </c>
      <c r="AN234" t="s">
        <v>67</v>
      </c>
    </row>
    <row r="235" spans="1:40">
      <c r="A235" s="4" t="s">
        <v>462</v>
      </c>
      <c r="B235">
        <v>1994</v>
      </c>
      <c r="C235">
        <v>43</v>
      </c>
      <c r="D235">
        <v>4</v>
      </c>
      <c r="E235">
        <v>6</v>
      </c>
      <c r="F235">
        <v>44</v>
      </c>
      <c r="G235">
        <v>46</v>
      </c>
      <c r="H235">
        <v>0</v>
      </c>
      <c r="I235" t="s">
        <v>316</v>
      </c>
      <c r="J235" t="s">
        <v>317</v>
      </c>
      <c r="K235" t="s">
        <v>334</v>
      </c>
      <c r="L235" t="s">
        <v>438</v>
      </c>
      <c r="M235" t="str">
        <f t="shared" si="6"/>
        <v>Glycine</v>
      </c>
      <c r="N235" s="7" t="s">
        <v>442</v>
      </c>
      <c r="O235" t="s">
        <v>443</v>
      </c>
      <c r="P235" t="str">
        <f t="shared" si="7"/>
        <v>High</v>
      </c>
      <c r="Q235">
        <v>0.54300000000000004</v>
      </c>
      <c r="R235" s="25">
        <v>550</v>
      </c>
      <c r="S235">
        <v>0</v>
      </c>
      <c r="T235" s="5" t="s">
        <v>463</v>
      </c>
      <c r="U235" s="1" t="s">
        <v>464</v>
      </c>
      <c r="V235" s="1" t="s">
        <v>47</v>
      </c>
      <c r="W235" s="25" t="s">
        <v>43</v>
      </c>
      <c r="X235" s="25" t="s">
        <v>43</v>
      </c>
      <c r="Y235" t="s">
        <v>76</v>
      </c>
      <c r="Z235" s="25">
        <v>50</v>
      </c>
      <c r="AA235" s="25">
        <v>5</v>
      </c>
      <c r="AB235" s="25">
        <v>5</v>
      </c>
      <c r="AC235" s="25">
        <v>0</v>
      </c>
      <c r="AD235" s="25">
        <v>0</v>
      </c>
      <c r="AE235" s="29" t="s">
        <v>43</v>
      </c>
      <c r="AF235" s="25">
        <v>20</v>
      </c>
      <c r="AG235" s="25">
        <v>0</v>
      </c>
      <c r="AH235" s="25">
        <v>0</v>
      </c>
      <c r="AI235" s="25">
        <v>0</v>
      </c>
      <c r="AJ235" s="25">
        <v>0</v>
      </c>
      <c r="AK235" s="29">
        <v>8</v>
      </c>
      <c r="AL235">
        <v>25</v>
      </c>
      <c r="AM235" t="s">
        <v>323</v>
      </c>
      <c r="AN235" t="s">
        <v>67</v>
      </c>
    </row>
    <row r="236" spans="1:40">
      <c r="A236" s="4" t="s">
        <v>462</v>
      </c>
      <c r="B236">
        <v>1994</v>
      </c>
      <c r="C236">
        <v>43</v>
      </c>
      <c r="D236">
        <v>4</v>
      </c>
      <c r="E236">
        <v>6</v>
      </c>
      <c r="F236">
        <v>44</v>
      </c>
      <c r="G236">
        <v>46</v>
      </c>
      <c r="H236">
        <v>0</v>
      </c>
      <c r="I236" t="s">
        <v>316</v>
      </c>
      <c r="J236" t="s">
        <v>317</v>
      </c>
      <c r="K236" t="s">
        <v>334</v>
      </c>
      <c r="L236" t="s">
        <v>438</v>
      </c>
      <c r="M236" t="str">
        <f t="shared" si="6"/>
        <v>Glycine</v>
      </c>
      <c r="N236" s="7" t="s">
        <v>442</v>
      </c>
      <c r="O236" s="2" t="s">
        <v>455</v>
      </c>
      <c r="P236" t="str">
        <f t="shared" si="7"/>
        <v>Moderate</v>
      </c>
      <c r="Q236">
        <v>0.34200000000000003</v>
      </c>
      <c r="R236" s="25">
        <v>550</v>
      </c>
      <c r="S236">
        <v>0</v>
      </c>
      <c r="T236" s="5" t="s">
        <v>463</v>
      </c>
      <c r="U236" s="1" t="s">
        <v>464</v>
      </c>
      <c r="V236" s="1" t="s">
        <v>47</v>
      </c>
      <c r="W236" s="25" t="s">
        <v>43</v>
      </c>
      <c r="X236" s="25" t="s">
        <v>43</v>
      </c>
      <c r="Y236" t="s">
        <v>76</v>
      </c>
      <c r="Z236" s="25">
        <v>50</v>
      </c>
      <c r="AA236" s="25">
        <v>5</v>
      </c>
      <c r="AB236" s="25">
        <v>5</v>
      </c>
      <c r="AC236" s="25">
        <v>0</v>
      </c>
      <c r="AD236" s="25">
        <v>0</v>
      </c>
      <c r="AE236" s="29" t="s">
        <v>43</v>
      </c>
      <c r="AF236" s="25">
        <v>20</v>
      </c>
      <c r="AG236" s="25">
        <v>0</v>
      </c>
      <c r="AH236" s="25">
        <v>0</v>
      </c>
      <c r="AI236" s="25">
        <v>0</v>
      </c>
      <c r="AJ236" s="25">
        <v>0</v>
      </c>
      <c r="AK236" s="29">
        <v>8</v>
      </c>
      <c r="AL236">
        <v>25</v>
      </c>
      <c r="AM236" t="s">
        <v>323</v>
      </c>
      <c r="AN236" t="s">
        <v>67</v>
      </c>
    </row>
    <row r="237" spans="1:40">
      <c r="A237" s="4" t="s">
        <v>462</v>
      </c>
      <c r="B237">
        <v>1994</v>
      </c>
      <c r="C237">
        <v>43</v>
      </c>
      <c r="D237">
        <v>4</v>
      </c>
      <c r="E237">
        <v>6</v>
      </c>
      <c r="F237">
        <v>44</v>
      </c>
      <c r="G237">
        <v>46</v>
      </c>
      <c r="H237">
        <v>0</v>
      </c>
      <c r="I237" t="s">
        <v>316</v>
      </c>
      <c r="J237" t="s">
        <v>317</v>
      </c>
      <c r="K237" t="s">
        <v>334</v>
      </c>
      <c r="L237" t="s">
        <v>438</v>
      </c>
      <c r="M237" t="str">
        <f t="shared" si="6"/>
        <v>Glycine</v>
      </c>
      <c r="N237" s="7" t="s">
        <v>442</v>
      </c>
      <c r="O237" s="2" t="s">
        <v>465</v>
      </c>
      <c r="P237" t="str">
        <f t="shared" si="7"/>
        <v>Low</v>
      </c>
      <c r="Q237">
        <v>8.5999999999999993E-2</v>
      </c>
      <c r="R237" s="25">
        <v>550</v>
      </c>
      <c r="S237">
        <v>0</v>
      </c>
      <c r="T237" s="5" t="s">
        <v>463</v>
      </c>
      <c r="U237" s="1" t="s">
        <v>464</v>
      </c>
      <c r="V237" s="1" t="s">
        <v>47</v>
      </c>
      <c r="W237" s="25" t="s">
        <v>43</v>
      </c>
      <c r="X237" s="25" t="s">
        <v>43</v>
      </c>
      <c r="Y237" t="s">
        <v>76</v>
      </c>
      <c r="Z237" s="25">
        <v>50</v>
      </c>
      <c r="AA237" s="25">
        <v>5</v>
      </c>
      <c r="AB237" s="25">
        <v>5</v>
      </c>
      <c r="AC237" s="25">
        <v>0</v>
      </c>
      <c r="AD237" s="25">
        <v>0</v>
      </c>
      <c r="AE237" s="29" t="s">
        <v>43</v>
      </c>
      <c r="AF237" s="25">
        <v>20</v>
      </c>
      <c r="AG237" s="25">
        <v>0</v>
      </c>
      <c r="AH237" s="25">
        <v>0</v>
      </c>
      <c r="AI237" s="25">
        <v>0</v>
      </c>
      <c r="AJ237" s="25">
        <v>0</v>
      </c>
      <c r="AK237" s="29">
        <v>8</v>
      </c>
      <c r="AL237">
        <v>25</v>
      </c>
      <c r="AM237" t="s">
        <v>323</v>
      </c>
      <c r="AN237" t="s">
        <v>67</v>
      </c>
    </row>
    <row r="238" spans="1:40">
      <c r="A238" s="4" t="s">
        <v>462</v>
      </c>
      <c r="B238">
        <v>1994</v>
      </c>
      <c r="C238">
        <v>43</v>
      </c>
      <c r="D238">
        <v>4</v>
      </c>
      <c r="E238">
        <v>6</v>
      </c>
      <c r="F238">
        <v>44</v>
      </c>
      <c r="G238">
        <v>46</v>
      </c>
      <c r="H238">
        <v>0</v>
      </c>
      <c r="I238" t="s">
        <v>316</v>
      </c>
      <c r="J238" t="s">
        <v>317</v>
      </c>
      <c r="K238" t="s">
        <v>334</v>
      </c>
      <c r="L238" t="s">
        <v>438</v>
      </c>
      <c r="M238" t="str">
        <f t="shared" si="6"/>
        <v>Glycine</v>
      </c>
      <c r="N238" s="7" t="s">
        <v>442</v>
      </c>
      <c r="O238" s="2" t="s">
        <v>457</v>
      </c>
      <c r="P238" t="str">
        <f t="shared" si="7"/>
        <v>Moderate</v>
      </c>
      <c r="Q238">
        <v>0.38500000000000001</v>
      </c>
      <c r="R238" s="25">
        <v>550</v>
      </c>
      <c r="S238">
        <v>0</v>
      </c>
      <c r="T238" s="5" t="s">
        <v>463</v>
      </c>
      <c r="U238" s="1" t="s">
        <v>464</v>
      </c>
      <c r="V238" s="1" t="s">
        <v>47</v>
      </c>
      <c r="W238" s="25" t="s">
        <v>43</v>
      </c>
      <c r="X238" s="25" t="s">
        <v>43</v>
      </c>
      <c r="Y238" t="s">
        <v>76</v>
      </c>
      <c r="Z238" s="25">
        <v>50</v>
      </c>
      <c r="AA238" s="25">
        <v>5</v>
      </c>
      <c r="AB238" s="25">
        <v>5</v>
      </c>
      <c r="AC238" s="25">
        <v>0</v>
      </c>
      <c r="AD238" s="25">
        <v>0</v>
      </c>
      <c r="AE238" s="29" t="s">
        <v>43</v>
      </c>
      <c r="AF238" s="25">
        <v>20</v>
      </c>
      <c r="AG238" s="25">
        <v>0</v>
      </c>
      <c r="AH238" s="25">
        <v>0</v>
      </c>
      <c r="AI238" s="25">
        <v>0</v>
      </c>
      <c r="AJ238" s="25">
        <v>0</v>
      </c>
      <c r="AK238" s="29">
        <v>8</v>
      </c>
      <c r="AL238">
        <v>25</v>
      </c>
      <c r="AM238" t="s">
        <v>323</v>
      </c>
      <c r="AN238" t="s">
        <v>67</v>
      </c>
    </row>
    <row r="239" spans="1:40">
      <c r="A239" s="4" t="s">
        <v>462</v>
      </c>
      <c r="B239">
        <v>1994</v>
      </c>
      <c r="C239">
        <v>43</v>
      </c>
      <c r="D239">
        <v>4</v>
      </c>
      <c r="E239">
        <v>6</v>
      </c>
      <c r="F239">
        <v>44</v>
      </c>
      <c r="G239">
        <v>46</v>
      </c>
      <c r="H239">
        <v>0</v>
      </c>
      <c r="I239" t="s">
        <v>316</v>
      </c>
      <c r="J239" t="s">
        <v>317</v>
      </c>
      <c r="K239" t="s">
        <v>334</v>
      </c>
      <c r="L239" t="s">
        <v>438</v>
      </c>
      <c r="M239" t="str">
        <f t="shared" si="6"/>
        <v>Glycine</v>
      </c>
      <c r="N239" s="7" t="s">
        <v>442</v>
      </c>
      <c r="O239" s="2" t="s">
        <v>458</v>
      </c>
      <c r="P239" t="str">
        <f t="shared" si="7"/>
        <v>Moderate</v>
      </c>
      <c r="Q239">
        <v>0.33800000000000002</v>
      </c>
      <c r="R239" s="25">
        <v>550</v>
      </c>
      <c r="S239">
        <v>0</v>
      </c>
      <c r="T239" s="5" t="s">
        <v>463</v>
      </c>
      <c r="U239" s="1" t="s">
        <v>464</v>
      </c>
      <c r="V239" s="1" t="s">
        <v>47</v>
      </c>
      <c r="W239" s="25" t="s">
        <v>43</v>
      </c>
      <c r="X239" s="25" t="s">
        <v>43</v>
      </c>
      <c r="Y239" t="s">
        <v>76</v>
      </c>
      <c r="Z239" s="25">
        <v>50</v>
      </c>
      <c r="AA239" s="25">
        <v>5</v>
      </c>
      <c r="AB239" s="25">
        <v>5</v>
      </c>
      <c r="AC239" s="25">
        <v>0</v>
      </c>
      <c r="AD239" s="25">
        <v>0</v>
      </c>
      <c r="AE239" s="29" t="s">
        <v>43</v>
      </c>
      <c r="AF239" s="25">
        <v>20</v>
      </c>
      <c r="AG239" s="25">
        <v>0</v>
      </c>
      <c r="AH239" s="25">
        <v>0</v>
      </c>
      <c r="AI239" s="25">
        <v>0</v>
      </c>
      <c r="AJ239" s="25">
        <v>0</v>
      </c>
      <c r="AK239" s="29">
        <v>8</v>
      </c>
      <c r="AL239">
        <v>25</v>
      </c>
      <c r="AM239" t="s">
        <v>323</v>
      </c>
      <c r="AN239" t="s">
        <v>67</v>
      </c>
    </row>
    <row r="240" spans="1:40">
      <c r="A240" s="4" t="s">
        <v>462</v>
      </c>
      <c r="B240">
        <v>1994</v>
      </c>
      <c r="C240">
        <v>43</v>
      </c>
      <c r="D240">
        <v>4</v>
      </c>
      <c r="E240">
        <v>6</v>
      </c>
      <c r="F240">
        <v>44</v>
      </c>
      <c r="G240">
        <v>46</v>
      </c>
      <c r="H240">
        <v>0</v>
      </c>
      <c r="I240" t="s">
        <v>316</v>
      </c>
      <c r="J240" t="s">
        <v>317</v>
      </c>
      <c r="K240" t="s">
        <v>334</v>
      </c>
      <c r="L240" t="s">
        <v>438</v>
      </c>
      <c r="M240" t="str">
        <f t="shared" si="6"/>
        <v>Glycine</v>
      </c>
      <c r="N240" s="7" t="s">
        <v>442</v>
      </c>
      <c r="O240" s="2" t="s">
        <v>466</v>
      </c>
      <c r="P240" t="str">
        <f t="shared" si="7"/>
        <v>High</v>
      </c>
      <c r="Q240">
        <v>0.61</v>
      </c>
      <c r="R240" s="25">
        <v>550</v>
      </c>
      <c r="S240">
        <v>0</v>
      </c>
      <c r="T240" s="5" t="s">
        <v>463</v>
      </c>
      <c r="U240" s="1" t="s">
        <v>464</v>
      </c>
      <c r="V240" s="1" t="s">
        <v>47</v>
      </c>
      <c r="W240" s="25" t="s">
        <v>43</v>
      </c>
      <c r="X240" s="25" t="s">
        <v>43</v>
      </c>
      <c r="Y240" t="s">
        <v>76</v>
      </c>
      <c r="Z240" s="25">
        <v>50</v>
      </c>
      <c r="AA240" s="25">
        <v>5</v>
      </c>
      <c r="AB240" s="25">
        <v>5</v>
      </c>
      <c r="AC240" s="25">
        <v>0</v>
      </c>
      <c r="AD240" s="25">
        <v>0</v>
      </c>
      <c r="AE240" s="29" t="s">
        <v>43</v>
      </c>
      <c r="AF240" s="25">
        <v>20</v>
      </c>
      <c r="AG240" s="25">
        <v>0</v>
      </c>
      <c r="AH240" s="25">
        <v>0</v>
      </c>
      <c r="AI240" s="25">
        <v>0</v>
      </c>
      <c r="AJ240" s="25">
        <v>0</v>
      </c>
      <c r="AK240" s="29">
        <v>8</v>
      </c>
      <c r="AL240">
        <v>25</v>
      </c>
      <c r="AM240" t="s">
        <v>323</v>
      </c>
      <c r="AN240" t="s">
        <v>67</v>
      </c>
    </row>
    <row r="241" spans="1:40" ht="14.45">
      <c r="A241" s="4" t="s">
        <v>134</v>
      </c>
      <c r="B241">
        <v>1997</v>
      </c>
      <c r="C241">
        <v>43</v>
      </c>
      <c r="D241">
        <v>4</v>
      </c>
      <c r="E241">
        <v>6</v>
      </c>
      <c r="F241">
        <v>44</v>
      </c>
      <c r="G241">
        <v>46</v>
      </c>
      <c r="H241">
        <v>0</v>
      </c>
      <c r="I241" t="s">
        <v>316</v>
      </c>
      <c r="J241" t="s">
        <v>317</v>
      </c>
      <c r="K241" t="s">
        <v>334</v>
      </c>
      <c r="L241" t="s">
        <v>438</v>
      </c>
      <c r="M241" t="str">
        <f t="shared" si="6"/>
        <v>Glycine</v>
      </c>
      <c r="N241" s="7" t="s">
        <v>442</v>
      </c>
      <c r="O241" t="s">
        <v>443</v>
      </c>
      <c r="P241" t="str">
        <f t="shared" si="7"/>
        <v>Moderate</v>
      </c>
      <c r="Q241">
        <f>1-(1284/1561)</f>
        <v>0.17745035233824469</v>
      </c>
      <c r="R241" s="25">
        <v>1600</v>
      </c>
      <c r="S241">
        <v>0</v>
      </c>
      <c r="T241" s="5" t="s">
        <v>136</v>
      </c>
      <c r="U241" s="2" t="s">
        <v>137</v>
      </c>
      <c r="V241" s="1" t="s">
        <v>47</v>
      </c>
      <c r="W241" s="25" t="s">
        <v>43</v>
      </c>
      <c r="X241" s="25">
        <v>0.75</v>
      </c>
      <c r="Y241" t="s">
        <v>76</v>
      </c>
      <c r="Z241" s="25">
        <v>50</v>
      </c>
      <c r="AA241" s="25">
        <v>10</v>
      </c>
      <c r="AB241" s="25">
        <v>5</v>
      </c>
      <c r="AC241" s="25">
        <v>0</v>
      </c>
      <c r="AD241" s="25">
        <v>0.1</v>
      </c>
      <c r="AE241" s="29">
        <v>0.5</v>
      </c>
      <c r="AF241" s="25">
        <v>20</v>
      </c>
      <c r="AG241" s="25">
        <v>0</v>
      </c>
      <c r="AH241" s="25">
        <v>0</v>
      </c>
      <c r="AI241" s="25">
        <v>0</v>
      </c>
      <c r="AJ241" s="25">
        <v>0</v>
      </c>
      <c r="AK241" s="29">
        <v>8</v>
      </c>
      <c r="AL241">
        <v>30</v>
      </c>
      <c r="AM241" t="s">
        <v>43</v>
      </c>
      <c r="AN241" t="s">
        <v>67</v>
      </c>
    </row>
    <row r="242" spans="1:40">
      <c r="A242" s="4" t="s">
        <v>467</v>
      </c>
      <c r="B242">
        <v>2003</v>
      </c>
      <c r="C242">
        <v>43</v>
      </c>
      <c r="D242">
        <v>4</v>
      </c>
      <c r="E242">
        <v>6</v>
      </c>
      <c r="F242">
        <v>44</v>
      </c>
      <c r="G242">
        <v>46</v>
      </c>
      <c r="H242">
        <v>0</v>
      </c>
      <c r="I242" t="s">
        <v>316</v>
      </c>
      <c r="J242" t="s">
        <v>317</v>
      </c>
      <c r="K242" t="s">
        <v>334</v>
      </c>
      <c r="L242" t="s">
        <v>438</v>
      </c>
      <c r="M242" t="str">
        <f t="shared" si="6"/>
        <v>Glycine</v>
      </c>
      <c r="N242" s="7" t="s">
        <v>442</v>
      </c>
      <c r="O242" t="s">
        <v>468</v>
      </c>
      <c r="P242" t="str">
        <f t="shared" si="7"/>
        <v>Moderate</v>
      </c>
      <c r="Q242">
        <f>1-(0.2113/0.3027)</f>
        <v>0.30194912454575495</v>
      </c>
      <c r="R242" s="25">
        <v>350</v>
      </c>
      <c r="S242">
        <v>0</v>
      </c>
      <c r="T242" s="5" t="s">
        <v>469</v>
      </c>
      <c r="U242" s="1" t="s">
        <v>111</v>
      </c>
      <c r="V242" s="1" t="s">
        <v>47</v>
      </c>
      <c r="W242" s="25" t="s">
        <v>43</v>
      </c>
      <c r="X242" s="25" t="s">
        <v>43</v>
      </c>
      <c r="Y242" t="s">
        <v>48</v>
      </c>
      <c r="Z242" s="25">
        <v>100</v>
      </c>
      <c r="AA242" s="25">
        <v>20</v>
      </c>
      <c r="AB242" s="25">
        <v>0</v>
      </c>
      <c r="AC242" s="25">
        <v>0.25</v>
      </c>
      <c r="AD242" s="25">
        <v>0</v>
      </c>
      <c r="AE242" s="29">
        <v>0.4</v>
      </c>
      <c r="AF242" s="25">
        <v>10</v>
      </c>
      <c r="AG242" s="25">
        <v>0</v>
      </c>
      <c r="AH242" s="25">
        <v>0</v>
      </c>
      <c r="AI242" s="25">
        <v>0</v>
      </c>
      <c r="AJ242" s="25">
        <v>0</v>
      </c>
      <c r="AK242" s="29">
        <v>8.1999999999999993</v>
      </c>
      <c r="AL242" t="s">
        <v>43</v>
      </c>
      <c r="AM242" t="s">
        <v>470</v>
      </c>
      <c r="AN242" t="s">
        <v>67</v>
      </c>
    </row>
    <row r="243" spans="1:40">
      <c r="A243" s="4" t="s">
        <v>467</v>
      </c>
      <c r="B243">
        <v>2003</v>
      </c>
      <c r="C243">
        <v>43</v>
      </c>
      <c r="D243">
        <v>4</v>
      </c>
      <c r="E243">
        <v>6</v>
      </c>
      <c r="F243">
        <v>44</v>
      </c>
      <c r="G243">
        <v>46</v>
      </c>
      <c r="H243">
        <v>0</v>
      </c>
      <c r="I243" t="s">
        <v>316</v>
      </c>
      <c r="J243" t="s">
        <v>317</v>
      </c>
      <c r="K243" t="s">
        <v>334</v>
      </c>
      <c r="L243" t="s">
        <v>438</v>
      </c>
      <c r="M243" t="str">
        <f t="shared" si="6"/>
        <v>Glycine</v>
      </c>
      <c r="N243" s="7" t="s">
        <v>442</v>
      </c>
      <c r="O243" t="s">
        <v>471</v>
      </c>
      <c r="P243" t="str">
        <f t="shared" si="7"/>
        <v>Moderate</v>
      </c>
      <c r="Q243">
        <f>1-(0.2206/0.4045)</f>
        <v>0.45463535228677388</v>
      </c>
      <c r="R243" s="25">
        <v>350</v>
      </c>
      <c r="S243">
        <v>0</v>
      </c>
      <c r="T243" s="5" t="s">
        <v>469</v>
      </c>
      <c r="U243" s="1" t="s">
        <v>111</v>
      </c>
      <c r="V243" s="1" t="s">
        <v>47</v>
      </c>
      <c r="W243" s="25" t="s">
        <v>43</v>
      </c>
      <c r="X243" s="25" t="s">
        <v>43</v>
      </c>
      <c r="Y243" t="s">
        <v>48</v>
      </c>
      <c r="Z243" s="25">
        <v>100</v>
      </c>
      <c r="AA243" s="25">
        <v>20</v>
      </c>
      <c r="AB243" s="25">
        <v>0</v>
      </c>
      <c r="AC243" s="25">
        <v>0.25</v>
      </c>
      <c r="AD243" s="25">
        <v>0</v>
      </c>
      <c r="AE243" s="29">
        <v>0.4</v>
      </c>
      <c r="AF243" s="25">
        <v>10</v>
      </c>
      <c r="AG243" s="25">
        <v>0</v>
      </c>
      <c r="AH243" s="25">
        <v>0</v>
      </c>
      <c r="AI243" s="25">
        <v>0</v>
      </c>
      <c r="AJ243" s="25">
        <v>0</v>
      </c>
      <c r="AK243" s="29">
        <v>8.1999999999999993</v>
      </c>
      <c r="AL243" t="s">
        <v>43</v>
      </c>
      <c r="AM243" t="s">
        <v>470</v>
      </c>
      <c r="AN243" t="s">
        <v>67</v>
      </c>
    </row>
    <row r="244" spans="1:40">
      <c r="A244" s="4" t="s">
        <v>105</v>
      </c>
      <c r="B244">
        <v>1986</v>
      </c>
      <c r="C244">
        <v>43</v>
      </c>
      <c r="D244">
        <v>4</v>
      </c>
      <c r="E244">
        <v>6</v>
      </c>
      <c r="F244">
        <v>44</v>
      </c>
      <c r="G244">
        <v>61</v>
      </c>
      <c r="H244">
        <v>1</v>
      </c>
      <c r="I244" t="s">
        <v>316</v>
      </c>
      <c r="J244" t="s">
        <v>317</v>
      </c>
      <c r="K244" t="s">
        <v>334</v>
      </c>
      <c r="L244" t="s">
        <v>438</v>
      </c>
      <c r="M244" t="str">
        <f t="shared" si="6"/>
        <v>Vigna</v>
      </c>
      <c r="N244" s="7" t="s">
        <v>472</v>
      </c>
      <c r="O244" t="s">
        <v>43</v>
      </c>
      <c r="P244" t="str">
        <f t="shared" si="7"/>
        <v>High</v>
      </c>
      <c r="Q244">
        <v>0.5</v>
      </c>
      <c r="R244" s="25">
        <v>1000</v>
      </c>
      <c r="S244">
        <v>10</v>
      </c>
      <c r="T244" s="5" t="s">
        <v>110</v>
      </c>
      <c r="U244" s="1" t="s">
        <v>111</v>
      </c>
      <c r="V244" s="1" t="s">
        <v>47</v>
      </c>
      <c r="W244" s="25">
        <v>10</v>
      </c>
      <c r="X244" s="25">
        <v>0.5</v>
      </c>
      <c r="Y244" t="s">
        <v>48</v>
      </c>
      <c r="Z244" s="25">
        <v>100</v>
      </c>
      <c r="AA244" s="25">
        <v>5</v>
      </c>
      <c r="AB244" s="25">
        <v>0</v>
      </c>
      <c r="AC244" s="25">
        <v>5</v>
      </c>
      <c r="AD244" s="25">
        <v>0</v>
      </c>
      <c r="AE244" s="29">
        <v>0.66</v>
      </c>
      <c r="AF244" s="25">
        <v>10</v>
      </c>
      <c r="AG244" s="25">
        <v>0</v>
      </c>
      <c r="AH244" s="25">
        <v>0</v>
      </c>
      <c r="AI244" s="25">
        <v>0</v>
      </c>
      <c r="AJ244" s="25">
        <v>0</v>
      </c>
      <c r="AK244" s="29">
        <v>8</v>
      </c>
      <c r="AL244">
        <v>25</v>
      </c>
      <c r="AM244" t="s">
        <v>43</v>
      </c>
      <c r="AN244" t="s">
        <v>67</v>
      </c>
    </row>
    <row r="245" spans="1:40">
      <c r="A245" s="4" t="s">
        <v>315</v>
      </c>
      <c r="B245">
        <v>1992</v>
      </c>
      <c r="C245">
        <v>43</v>
      </c>
      <c r="D245">
        <v>4</v>
      </c>
      <c r="E245">
        <v>6</v>
      </c>
      <c r="F245">
        <v>44</v>
      </c>
      <c r="G245">
        <v>61</v>
      </c>
      <c r="H245">
        <v>1</v>
      </c>
      <c r="I245" t="s">
        <v>316</v>
      </c>
      <c r="J245" t="s">
        <v>317</v>
      </c>
      <c r="K245" t="s">
        <v>334</v>
      </c>
      <c r="L245" t="s">
        <v>438</v>
      </c>
      <c r="M245" t="str">
        <f t="shared" si="6"/>
        <v>Vigna</v>
      </c>
      <c r="N245" s="7" t="s">
        <v>472</v>
      </c>
      <c r="O245" s="2" t="s">
        <v>473</v>
      </c>
      <c r="P245" t="str">
        <f t="shared" si="7"/>
        <v>High</v>
      </c>
      <c r="Q245">
        <v>0.64100000000000001</v>
      </c>
      <c r="R245" s="25">
        <v>330</v>
      </c>
      <c r="S245">
        <v>0</v>
      </c>
      <c r="T245" s="5" t="s">
        <v>321</v>
      </c>
      <c r="U245" s="1" t="s">
        <v>322</v>
      </c>
      <c r="V245" s="1" t="s">
        <v>47</v>
      </c>
      <c r="W245" s="25" t="s">
        <v>43</v>
      </c>
      <c r="X245" s="25">
        <v>0.5</v>
      </c>
      <c r="Y245" t="s">
        <v>76</v>
      </c>
      <c r="Z245" s="25">
        <v>50</v>
      </c>
      <c r="AA245" s="25">
        <v>5</v>
      </c>
      <c r="AB245" s="25">
        <v>5</v>
      </c>
      <c r="AC245" s="25">
        <v>0</v>
      </c>
      <c r="AD245" s="25">
        <v>0</v>
      </c>
      <c r="AE245" s="29">
        <v>0.2</v>
      </c>
      <c r="AF245" s="25">
        <v>20</v>
      </c>
      <c r="AG245" s="25">
        <v>0</v>
      </c>
      <c r="AH245" s="25">
        <v>0</v>
      </c>
      <c r="AI245" s="25">
        <v>0</v>
      </c>
      <c r="AJ245" s="25">
        <v>0</v>
      </c>
      <c r="AK245" s="29">
        <v>8</v>
      </c>
      <c r="AL245">
        <v>25</v>
      </c>
      <c r="AM245" t="s">
        <v>323</v>
      </c>
      <c r="AN245" t="s">
        <v>67</v>
      </c>
    </row>
    <row r="246" spans="1:40">
      <c r="A246" s="4" t="s">
        <v>315</v>
      </c>
      <c r="B246">
        <v>1992</v>
      </c>
      <c r="C246">
        <v>43</v>
      </c>
      <c r="D246">
        <v>4</v>
      </c>
      <c r="E246">
        <v>6</v>
      </c>
      <c r="F246">
        <v>44</v>
      </c>
      <c r="G246">
        <v>61</v>
      </c>
      <c r="H246">
        <v>1</v>
      </c>
      <c r="I246" t="s">
        <v>316</v>
      </c>
      <c r="J246" t="s">
        <v>317</v>
      </c>
      <c r="K246" t="s">
        <v>334</v>
      </c>
      <c r="L246" t="s">
        <v>438</v>
      </c>
      <c r="M246" t="str">
        <f t="shared" si="6"/>
        <v>Vigna</v>
      </c>
      <c r="N246" s="7" t="s">
        <v>472</v>
      </c>
      <c r="O246" s="2" t="s">
        <v>474</v>
      </c>
      <c r="P246" t="str">
        <f t="shared" si="7"/>
        <v>High</v>
      </c>
      <c r="Q246">
        <v>0.64400000000000002</v>
      </c>
      <c r="R246" s="25">
        <v>330</v>
      </c>
      <c r="S246">
        <v>0</v>
      </c>
      <c r="T246" s="5" t="s">
        <v>321</v>
      </c>
      <c r="U246" s="1" t="s">
        <v>322</v>
      </c>
      <c r="V246" s="1" t="s">
        <v>47</v>
      </c>
      <c r="W246" s="25" t="s">
        <v>43</v>
      </c>
      <c r="X246" s="25">
        <v>0.5</v>
      </c>
      <c r="Y246" t="s">
        <v>76</v>
      </c>
      <c r="Z246" s="25">
        <v>50</v>
      </c>
      <c r="AA246" s="25">
        <v>5</v>
      </c>
      <c r="AB246" s="25">
        <v>5</v>
      </c>
      <c r="AC246" s="25">
        <v>0</v>
      </c>
      <c r="AD246" s="25">
        <v>0</v>
      </c>
      <c r="AE246" s="29">
        <v>0.2</v>
      </c>
      <c r="AF246" s="25">
        <v>20</v>
      </c>
      <c r="AG246" s="25">
        <v>0</v>
      </c>
      <c r="AH246" s="25">
        <v>0</v>
      </c>
      <c r="AI246" s="25">
        <v>0</v>
      </c>
      <c r="AJ246" s="25">
        <v>0</v>
      </c>
      <c r="AK246" s="29">
        <v>8</v>
      </c>
      <c r="AL246">
        <v>25</v>
      </c>
      <c r="AM246" t="s">
        <v>323</v>
      </c>
      <c r="AN246" t="s">
        <v>67</v>
      </c>
    </row>
    <row r="247" spans="1:40">
      <c r="A247" s="4" t="s">
        <v>315</v>
      </c>
      <c r="B247">
        <v>1992</v>
      </c>
      <c r="C247">
        <v>43</v>
      </c>
      <c r="D247">
        <v>4</v>
      </c>
      <c r="E247">
        <v>6</v>
      </c>
      <c r="F247">
        <v>44</v>
      </c>
      <c r="G247">
        <v>61</v>
      </c>
      <c r="H247">
        <v>1</v>
      </c>
      <c r="I247" t="s">
        <v>316</v>
      </c>
      <c r="J247" t="s">
        <v>317</v>
      </c>
      <c r="K247" t="s">
        <v>334</v>
      </c>
      <c r="L247" t="s">
        <v>438</v>
      </c>
      <c r="M247" t="str">
        <f t="shared" si="6"/>
        <v>Vigna</v>
      </c>
      <c r="N247" s="7" t="s">
        <v>472</v>
      </c>
      <c r="O247" t="s">
        <v>43</v>
      </c>
      <c r="P247" t="str">
        <f t="shared" si="7"/>
        <v>Moderate</v>
      </c>
      <c r="Q247">
        <v>0.46</v>
      </c>
      <c r="R247" s="25">
        <v>330</v>
      </c>
      <c r="S247">
        <v>0</v>
      </c>
      <c r="T247" s="5" t="s">
        <v>321</v>
      </c>
      <c r="U247" s="1" t="s">
        <v>322</v>
      </c>
      <c r="V247" s="1" t="s">
        <v>47</v>
      </c>
      <c r="W247" s="25" t="s">
        <v>43</v>
      </c>
      <c r="X247" s="25">
        <v>0.5</v>
      </c>
      <c r="Y247" t="s">
        <v>76</v>
      </c>
      <c r="Z247" s="25">
        <v>50</v>
      </c>
      <c r="AA247" s="25">
        <v>5</v>
      </c>
      <c r="AB247" s="25">
        <v>5</v>
      </c>
      <c r="AC247" s="25">
        <v>0</v>
      </c>
      <c r="AD247" s="25">
        <v>0</v>
      </c>
      <c r="AE247" s="29">
        <v>0.2</v>
      </c>
      <c r="AF247" s="25">
        <v>20</v>
      </c>
      <c r="AG247" s="25">
        <v>0</v>
      </c>
      <c r="AH247" s="25">
        <v>0</v>
      </c>
      <c r="AI247" s="25">
        <v>0</v>
      </c>
      <c r="AJ247" s="25">
        <v>0</v>
      </c>
      <c r="AK247" s="29">
        <v>8</v>
      </c>
      <c r="AL247">
        <v>25</v>
      </c>
      <c r="AM247" t="s">
        <v>323</v>
      </c>
      <c r="AN247" t="s">
        <v>67</v>
      </c>
    </row>
    <row r="248" spans="1:40">
      <c r="A248" s="4" t="s">
        <v>315</v>
      </c>
      <c r="B248">
        <v>1992</v>
      </c>
      <c r="C248">
        <v>43</v>
      </c>
      <c r="D248">
        <v>4</v>
      </c>
      <c r="E248">
        <v>6</v>
      </c>
      <c r="F248">
        <v>44</v>
      </c>
      <c r="G248">
        <v>61</v>
      </c>
      <c r="H248">
        <v>2</v>
      </c>
      <c r="I248" t="s">
        <v>316</v>
      </c>
      <c r="J248" t="s">
        <v>317</v>
      </c>
      <c r="K248" t="s">
        <v>334</v>
      </c>
      <c r="L248" t="s">
        <v>438</v>
      </c>
      <c r="M248" t="str">
        <f t="shared" si="6"/>
        <v>Vigna</v>
      </c>
      <c r="N248" s="7" t="s">
        <v>475</v>
      </c>
      <c r="O248" t="s">
        <v>43</v>
      </c>
      <c r="P248" t="str">
        <f t="shared" si="7"/>
        <v>High</v>
      </c>
      <c r="Q248">
        <v>0.5</v>
      </c>
      <c r="R248" s="25">
        <v>330</v>
      </c>
      <c r="S248">
        <v>0</v>
      </c>
      <c r="T248" s="5" t="s">
        <v>321</v>
      </c>
      <c r="U248" s="1" t="s">
        <v>322</v>
      </c>
      <c r="V248" s="1" t="s">
        <v>47</v>
      </c>
      <c r="W248" s="25" t="s">
        <v>43</v>
      </c>
      <c r="X248" s="25">
        <v>0.5</v>
      </c>
      <c r="Y248" t="s">
        <v>76</v>
      </c>
      <c r="Z248" s="25">
        <v>50</v>
      </c>
      <c r="AA248" s="25">
        <v>5</v>
      </c>
      <c r="AB248" s="25">
        <v>5</v>
      </c>
      <c r="AC248" s="25">
        <v>0</v>
      </c>
      <c r="AD248" s="25">
        <v>0</v>
      </c>
      <c r="AE248" s="29">
        <v>0.2</v>
      </c>
      <c r="AF248" s="25">
        <v>20</v>
      </c>
      <c r="AG248" s="25">
        <v>0</v>
      </c>
      <c r="AH248" s="25">
        <v>0</v>
      </c>
      <c r="AI248" s="25">
        <v>0</v>
      </c>
      <c r="AJ248" s="25">
        <v>0</v>
      </c>
      <c r="AK248" s="29">
        <v>8</v>
      </c>
      <c r="AL248">
        <v>25</v>
      </c>
      <c r="AM248" t="s">
        <v>323</v>
      </c>
      <c r="AN248" t="s">
        <v>67</v>
      </c>
    </row>
    <row r="249" spans="1:40">
      <c r="A249" s="4" t="s">
        <v>172</v>
      </c>
      <c r="B249">
        <v>1985</v>
      </c>
      <c r="C249">
        <v>43</v>
      </c>
      <c r="D249">
        <v>4</v>
      </c>
      <c r="E249">
        <v>6</v>
      </c>
      <c r="F249">
        <v>44</v>
      </c>
      <c r="G249">
        <v>61</v>
      </c>
      <c r="H249">
        <v>3</v>
      </c>
      <c r="I249" t="s">
        <v>316</v>
      </c>
      <c r="J249" t="s">
        <v>317</v>
      </c>
      <c r="K249" t="s">
        <v>334</v>
      </c>
      <c r="L249" t="s">
        <v>438</v>
      </c>
      <c r="M249" t="str">
        <f t="shared" si="6"/>
        <v>Vigna</v>
      </c>
      <c r="N249" s="7" t="s">
        <v>476</v>
      </c>
      <c r="O249" t="s">
        <v>43</v>
      </c>
      <c r="P249" t="str">
        <f t="shared" si="7"/>
        <v>Very High</v>
      </c>
      <c r="Q249">
        <v>0.79</v>
      </c>
      <c r="R249" s="25">
        <v>1000</v>
      </c>
      <c r="S249">
        <v>0</v>
      </c>
      <c r="T249" s="5" t="s">
        <v>173</v>
      </c>
      <c r="U249" s="2" t="s">
        <v>88</v>
      </c>
      <c r="V249" s="1" t="s">
        <v>47</v>
      </c>
      <c r="W249" s="25">
        <v>10</v>
      </c>
      <c r="X249" s="25">
        <v>0.5</v>
      </c>
      <c r="Y249" t="s">
        <v>48</v>
      </c>
      <c r="Z249" s="25">
        <v>100</v>
      </c>
      <c r="AA249" s="25">
        <v>20</v>
      </c>
      <c r="AB249" s="25">
        <v>5</v>
      </c>
      <c r="AC249" s="25" t="s">
        <v>43</v>
      </c>
      <c r="AD249" s="25">
        <v>0.1</v>
      </c>
      <c r="AE249" s="29">
        <v>0.5</v>
      </c>
      <c r="AF249" s="25">
        <v>10</v>
      </c>
      <c r="AG249" s="25">
        <v>0</v>
      </c>
      <c r="AH249" s="25">
        <v>0</v>
      </c>
      <c r="AI249" s="25">
        <v>0</v>
      </c>
      <c r="AJ249" s="25">
        <v>0</v>
      </c>
      <c r="AK249" s="29">
        <v>7.8</v>
      </c>
      <c r="AL249">
        <v>25</v>
      </c>
      <c r="AM249" t="s">
        <v>43</v>
      </c>
      <c r="AN249" t="s">
        <v>67</v>
      </c>
    </row>
    <row r="250" spans="1:40" ht="14.45">
      <c r="A250" s="4" t="s">
        <v>315</v>
      </c>
      <c r="B250">
        <v>1992</v>
      </c>
      <c r="C250">
        <v>43</v>
      </c>
      <c r="D250">
        <v>4</v>
      </c>
      <c r="E250">
        <v>6</v>
      </c>
      <c r="F250">
        <v>44</v>
      </c>
      <c r="G250">
        <v>61</v>
      </c>
      <c r="H250">
        <v>3</v>
      </c>
      <c r="I250" t="s">
        <v>316</v>
      </c>
      <c r="J250" t="s">
        <v>317</v>
      </c>
      <c r="K250" t="s">
        <v>334</v>
      </c>
      <c r="L250" t="s">
        <v>438</v>
      </c>
      <c r="M250" t="str">
        <f t="shared" si="6"/>
        <v>Vigna</v>
      </c>
      <c r="N250" s="7" t="s">
        <v>476</v>
      </c>
      <c r="O250" t="s">
        <v>43</v>
      </c>
      <c r="P250" t="str">
        <f t="shared" si="7"/>
        <v>Moderate</v>
      </c>
      <c r="Q250">
        <v>0.30499999999999999</v>
      </c>
      <c r="R250" s="25">
        <v>330</v>
      </c>
      <c r="S250">
        <v>0</v>
      </c>
      <c r="T250" s="5" t="s">
        <v>321</v>
      </c>
      <c r="U250" s="1" t="s">
        <v>322</v>
      </c>
      <c r="V250" s="1" t="s">
        <v>47</v>
      </c>
      <c r="W250" s="25" t="s">
        <v>43</v>
      </c>
      <c r="X250" s="25">
        <v>0.5</v>
      </c>
      <c r="Y250" t="s">
        <v>76</v>
      </c>
      <c r="Z250" s="25">
        <v>50</v>
      </c>
      <c r="AA250" s="25">
        <v>5</v>
      </c>
      <c r="AB250" s="25">
        <v>5</v>
      </c>
      <c r="AC250" s="25">
        <v>0</v>
      </c>
      <c r="AD250" s="25">
        <v>0</v>
      </c>
      <c r="AE250" s="29">
        <v>0.2</v>
      </c>
      <c r="AF250" s="25">
        <v>20</v>
      </c>
      <c r="AG250" s="25">
        <v>0</v>
      </c>
      <c r="AH250" s="25">
        <v>0</v>
      </c>
      <c r="AI250" s="25">
        <v>0</v>
      </c>
      <c r="AJ250" s="25">
        <v>0</v>
      </c>
      <c r="AK250" s="29">
        <v>8</v>
      </c>
      <c r="AL250">
        <v>25</v>
      </c>
      <c r="AM250" t="s">
        <v>323</v>
      </c>
      <c r="AN250" t="s">
        <v>67</v>
      </c>
    </row>
    <row r="251" spans="1:40" ht="14.45">
      <c r="A251" s="4" t="s">
        <v>315</v>
      </c>
      <c r="B251">
        <v>1992</v>
      </c>
      <c r="C251">
        <v>43</v>
      </c>
      <c r="D251">
        <v>4</v>
      </c>
      <c r="E251">
        <v>6</v>
      </c>
      <c r="F251">
        <v>44</v>
      </c>
      <c r="G251">
        <v>61</v>
      </c>
      <c r="H251">
        <v>4</v>
      </c>
      <c r="I251" t="s">
        <v>316</v>
      </c>
      <c r="J251" t="s">
        <v>317</v>
      </c>
      <c r="K251" t="s">
        <v>334</v>
      </c>
      <c r="L251" t="s">
        <v>438</v>
      </c>
      <c r="M251" t="str">
        <f t="shared" si="6"/>
        <v>Vigna</v>
      </c>
      <c r="N251" s="7" t="s">
        <v>477</v>
      </c>
      <c r="O251" t="s">
        <v>43</v>
      </c>
      <c r="P251" t="str">
        <f t="shared" si="7"/>
        <v>High</v>
      </c>
      <c r="Q251">
        <v>0.63700000000000001</v>
      </c>
      <c r="R251" s="25">
        <v>330</v>
      </c>
      <c r="S251">
        <v>0</v>
      </c>
      <c r="T251" s="5" t="s">
        <v>321</v>
      </c>
      <c r="U251" s="1" t="s">
        <v>322</v>
      </c>
      <c r="V251" s="1" t="s">
        <v>47</v>
      </c>
      <c r="W251" s="25" t="s">
        <v>43</v>
      </c>
      <c r="X251" s="25">
        <v>0.5</v>
      </c>
      <c r="Y251" t="s">
        <v>76</v>
      </c>
      <c r="Z251" s="25">
        <v>50</v>
      </c>
      <c r="AA251" s="25">
        <v>5</v>
      </c>
      <c r="AB251" s="25">
        <v>5</v>
      </c>
      <c r="AC251" s="25">
        <v>0</v>
      </c>
      <c r="AD251" s="25">
        <v>0</v>
      </c>
      <c r="AE251" s="29">
        <v>0.2</v>
      </c>
      <c r="AF251" s="25">
        <v>20</v>
      </c>
      <c r="AG251" s="25">
        <v>0</v>
      </c>
      <c r="AH251" s="25">
        <v>0</v>
      </c>
      <c r="AI251" s="25">
        <v>0</v>
      </c>
      <c r="AJ251" s="25">
        <v>0</v>
      </c>
      <c r="AK251" s="29">
        <v>8</v>
      </c>
      <c r="AL251">
        <v>25</v>
      </c>
      <c r="AM251" t="s">
        <v>323</v>
      </c>
      <c r="AN251" t="s">
        <v>67</v>
      </c>
    </row>
    <row r="252" spans="1:40">
      <c r="A252" s="4" t="s">
        <v>478</v>
      </c>
      <c r="B252">
        <v>1993</v>
      </c>
      <c r="C252">
        <v>43</v>
      </c>
      <c r="D252">
        <v>4</v>
      </c>
      <c r="E252">
        <v>6</v>
      </c>
      <c r="F252">
        <v>44</v>
      </c>
      <c r="G252">
        <v>62</v>
      </c>
      <c r="H252">
        <v>1</v>
      </c>
      <c r="I252" t="s">
        <v>316</v>
      </c>
      <c r="J252" t="s">
        <v>317</v>
      </c>
      <c r="K252" t="s">
        <v>334</v>
      </c>
      <c r="L252" t="s">
        <v>438</v>
      </c>
      <c r="M252" t="str">
        <f t="shared" si="6"/>
        <v>Phaseolus</v>
      </c>
      <c r="N252" s="7" t="s">
        <v>479</v>
      </c>
      <c r="O252" s="2" t="s">
        <v>480</v>
      </c>
      <c r="P252" t="str">
        <f t="shared" si="7"/>
        <v>Very High</v>
      </c>
      <c r="Q252">
        <v>0.82</v>
      </c>
      <c r="R252" s="25">
        <v>1200</v>
      </c>
      <c r="S252">
        <v>0</v>
      </c>
      <c r="T252" s="5" t="s">
        <v>481</v>
      </c>
      <c r="U252" s="1" t="s">
        <v>115</v>
      </c>
      <c r="V252" s="1" t="s">
        <v>47</v>
      </c>
      <c r="W252" s="25">
        <v>10</v>
      </c>
      <c r="X252" s="25" t="s">
        <v>43</v>
      </c>
      <c r="Y252" t="s">
        <v>48</v>
      </c>
      <c r="Z252" s="25">
        <v>100</v>
      </c>
      <c r="AA252" s="25">
        <v>20</v>
      </c>
      <c r="AB252" s="25">
        <v>1</v>
      </c>
      <c r="AC252" s="25">
        <v>0</v>
      </c>
      <c r="AD252" s="25">
        <v>1</v>
      </c>
      <c r="AE252" s="29" t="s">
        <v>43</v>
      </c>
      <c r="AF252" s="25">
        <v>10</v>
      </c>
      <c r="AG252" s="25">
        <v>0</v>
      </c>
      <c r="AH252" s="25">
        <v>2</v>
      </c>
      <c r="AI252" s="25">
        <v>0</v>
      </c>
      <c r="AJ252" s="25">
        <v>0</v>
      </c>
      <c r="AK252" s="29">
        <v>8.1999999999999993</v>
      </c>
      <c r="AL252">
        <v>25</v>
      </c>
      <c r="AM252" t="s">
        <v>482</v>
      </c>
      <c r="AN252" t="s">
        <v>67</v>
      </c>
    </row>
    <row r="253" spans="1:40">
      <c r="A253" s="4" t="s">
        <v>478</v>
      </c>
      <c r="B253">
        <v>1993</v>
      </c>
      <c r="C253">
        <v>43</v>
      </c>
      <c r="D253">
        <v>4</v>
      </c>
      <c r="E253">
        <v>6</v>
      </c>
      <c r="F253">
        <v>44</v>
      </c>
      <c r="G253">
        <v>62</v>
      </c>
      <c r="H253">
        <v>2</v>
      </c>
      <c r="I253" t="s">
        <v>316</v>
      </c>
      <c r="J253" t="s">
        <v>317</v>
      </c>
      <c r="K253" t="s">
        <v>334</v>
      </c>
      <c r="L253" t="s">
        <v>438</v>
      </c>
      <c r="M253" t="str">
        <f t="shared" si="6"/>
        <v>Phaseolus</v>
      </c>
      <c r="N253" s="7" t="s">
        <v>483</v>
      </c>
      <c r="O253" s="2" t="s">
        <v>484</v>
      </c>
      <c r="P253" t="str">
        <f t="shared" si="7"/>
        <v>High</v>
      </c>
      <c r="Q253">
        <v>0.62</v>
      </c>
      <c r="R253" s="25">
        <v>1200</v>
      </c>
      <c r="S253">
        <v>0</v>
      </c>
      <c r="T253" s="5" t="s">
        <v>481</v>
      </c>
      <c r="U253" s="1" t="s">
        <v>115</v>
      </c>
      <c r="V253" s="1" t="s">
        <v>47</v>
      </c>
      <c r="W253" s="25">
        <v>10</v>
      </c>
      <c r="X253" s="25" t="s">
        <v>43</v>
      </c>
      <c r="Y253" t="s">
        <v>48</v>
      </c>
      <c r="Z253" s="25">
        <v>100</v>
      </c>
      <c r="AA253" s="25">
        <v>20</v>
      </c>
      <c r="AB253" s="25">
        <v>1</v>
      </c>
      <c r="AC253" s="25">
        <v>0</v>
      </c>
      <c r="AD253" s="25">
        <v>1</v>
      </c>
      <c r="AE253" s="29" t="s">
        <v>43</v>
      </c>
      <c r="AF253" s="25">
        <v>10</v>
      </c>
      <c r="AG253" s="25">
        <v>0</v>
      </c>
      <c r="AH253" s="25">
        <v>2</v>
      </c>
      <c r="AI253" s="25">
        <v>0</v>
      </c>
      <c r="AJ253" s="25">
        <v>0</v>
      </c>
      <c r="AK253" s="29">
        <v>8.1999999999999993</v>
      </c>
      <c r="AL253">
        <v>25</v>
      </c>
      <c r="AM253" t="s">
        <v>482</v>
      </c>
      <c r="AN253" t="s">
        <v>67</v>
      </c>
    </row>
    <row r="254" spans="1:40">
      <c r="A254" s="4" t="s">
        <v>478</v>
      </c>
      <c r="B254">
        <v>1993</v>
      </c>
      <c r="C254">
        <v>43</v>
      </c>
      <c r="D254">
        <v>4</v>
      </c>
      <c r="E254">
        <v>6</v>
      </c>
      <c r="F254">
        <v>44</v>
      </c>
      <c r="G254">
        <v>62</v>
      </c>
      <c r="H254">
        <v>3</v>
      </c>
      <c r="I254" t="s">
        <v>316</v>
      </c>
      <c r="J254" t="s">
        <v>317</v>
      </c>
      <c r="K254" t="s">
        <v>334</v>
      </c>
      <c r="L254" t="s">
        <v>438</v>
      </c>
      <c r="M254" t="str">
        <f t="shared" si="6"/>
        <v>Phaseolus</v>
      </c>
      <c r="N254" s="7" t="s">
        <v>485</v>
      </c>
      <c r="O254" s="2" t="s">
        <v>486</v>
      </c>
      <c r="P254" t="str">
        <f t="shared" si="7"/>
        <v>High</v>
      </c>
      <c r="Q254">
        <v>0.5</v>
      </c>
      <c r="R254" s="25">
        <v>1200</v>
      </c>
      <c r="S254">
        <v>0</v>
      </c>
      <c r="T254" s="5" t="s">
        <v>481</v>
      </c>
      <c r="U254" s="1" t="s">
        <v>115</v>
      </c>
      <c r="V254" s="1" t="s">
        <v>47</v>
      </c>
      <c r="W254" s="25">
        <v>10</v>
      </c>
      <c r="X254" s="25" t="s">
        <v>43</v>
      </c>
      <c r="Y254" t="s">
        <v>48</v>
      </c>
      <c r="Z254" s="25">
        <v>100</v>
      </c>
      <c r="AA254" s="25">
        <v>20</v>
      </c>
      <c r="AB254" s="25">
        <v>1</v>
      </c>
      <c r="AC254" s="25">
        <v>0</v>
      </c>
      <c r="AD254" s="25">
        <v>1</v>
      </c>
      <c r="AE254" s="29" t="s">
        <v>43</v>
      </c>
      <c r="AF254" s="25">
        <v>10</v>
      </c>
      <c r="AG254" s="25">
        <v>0</v>
      </c>
      <c r="AH254" s="25">
        <v>2</v>
      </c>
      <c r="AI254" s="25">
        <v>0</v>
      </c>
      <c r="AJ254" s="25">
        <v>0</v>
      </c>
      <c r="AK254" s="29">
        <v>8.1999999999999993</v>
      </c>
      <c r="AL254">
        <v>25</v>
      </c>
      <c r="AM254" t="s">
        <v>482</v>
      </c>
      <c r="AN254" t="s">
        <v>67</v>
      </c>
    </row>
    <row r="255" spans="1:40">
      <c r="A255" s="4" t="s">
        <v>478</v>
      </c>
      <c r="B255">
        <v>1993</v>
      </c>
      <c r="C255">
        <v>43</v>
      </c>
      <c r="D255">
        <v>4</v>
      </c>
      <c r="E255">
        <v>6</v>
      </c>
      <c r="F255">
        <v>44</v>
      </c>
      <c r="G255">
        <v>62</v>
      </c>
      <c r="H255">
        <v>4</v>
      </c>
      <c r="I255" t="s">
        <v>316</v>
      </c>
      <c r="J255" t="s">
        <v>317</v>
      </c>
      <c r="K255" t="s">
        <v>334</v>
      </c>
      <c r="L255" t="s">
        <v>438</v>
      </c>
      <c r="M255" t="str">
        <f t="shared" si="6"/>
        <v>Phaseolus</v>
      </c>
      <c r="N255" s="7" t="s">
        <v>487</v>
      </c>
      <c r="O255" s="2" t="s">
        <v>488</v>
      </c>
      <c r="P255" t="str">
        <f t="shared" si="7"/>
        <v>High</v>
      </c>
      <c r="Q255">
        <v>0.74</v>
      </c>
      <c r="R255" s="25">
        <v>1200</v>
      </c>
      <c r="S255">
        <v>0</v>
      </c>
      <c r="T255" s="5" t="s">
        <v>481</v>
      </c>
      <c r="U255" s="1" t="s">
        <v>115</v>
      </c>
      <c r="V255" s="1" t="s">
        <v>47</v>
      </c>
      <c r="W255" s="25">
        <v>10</v>
      </c>
      <c r="X255" s="25" t="s">
        <v>43</v>
      </c>
      <c r="Y255" t="s">
        <v>48</v>
      </c>
      <c r="Z255" s="25">
        <v>100</v>
      </c>
      <c r="AA255" s="25">
        <v>20</v>
      </c>
      <c r="AB255" s="25">
        <v>1</v>
      </c>
      <c r="AC255" s="25">
        <v>0</v>
      </c>
      <c r="AD255" s="25">
        <v>1</v>
      </c>
      <c r="AE255" s="29" t="s">
        <v>43</v>
      </c>
      <c r="AF255" s="25">
        <v>10</v>
      </c>
      <c r="AG255" s="25">
        <v>0</v>
      </c>
      <c r="AH255" s="25">
        <v>2</v>
      </c>
      <c r="AI255" s="25">
        <v>0</v>
      </c>
      <c r="AJ255" s="25">
        <v>0</v>
      </c>
      <c r="AK255" s="29">
        <v>8.1999999999999993</v>
      </c>
      <c r="AL255">
        <v>25</v>
      </c>
      <c r="AM255" t="s">
        <v>482</v>
      </c>
      <c r="AN255" t="s">
        <v>67</v>
      </c>
    </row>
    <row r="256" spans="1:40">
      <c r="A256" s="4" t="s">
        <v>478</v>
      </c>
      <c r="B256">
        <v>1993</v>
      </c>
      <c r="C256">
        <v>43</v>
      </c>
      <c r="D256">
        <v>4</v>
      </c>
      <c r="E256">
        <v>6</v>
      </c>
      <c r="F256">
        <v>44</v>
      </c>
      <c r="G256">
        <v>62</v>
      </c>
      <c r="H256">
        <v>5</v>
      </c>
      <c r="I256" t="s">
        <v>316</v>
      </c>
      <c r="J256" t="s">
        <v>317</v>
      </c>
      <c r="K256" t="s">
        <v>334</v>
      </c>
      <c r="L256" t="s">
        <v>438</v>
      </c>
      <c r="M256" t="str">
        <f t="shared" si="6"/>
        <v>Phaseolus</v>
      </c>
      <c r="N256" s="7" t="s">
        <v>489</v>
      </c>
      <c r="O256" s="2" t="s">
        <v>490</v>
      </c>
      <c r="P256" t="str">
        <f t="shared" si="7"/>
        <v>High</v>
      </c>
      <c r="Q256">
        <v>0.63</v>
      </c>
      <c r="R256" s="25">
        <v>1200</v>
      </c>
      <c r="S256">
        <v>0</v>
      </c>
      <c r="T256" s="5" t="s">
        <v>481</v>
      </c>
      <c r="U256" s="1" t="s">
        <v>115</v>
      </c>
      <c r="V256" s="1" t="s">
        <v>47</v>
      </c>
      <c r="W256" s="25">
        <v>10</v>
      </c>
      <c r="X256" s="25" t="s">
        <v>43</v>
      </c>
      <c r="Y256" t="s">
        <v>48</v>
      </c>
      <c r="Z256" s="25">
        <v>100</v>
      </c>
      <c r="AA256" s="25">
        <v>20</v>
      </c>
      <c r="AB256" s="25">
        <v>1</v>
      </c>
      <c r="AC256" s="25">
        <v>0</v>
      </c>
      <c r="AD256" s="25">
        <v>1</v>
      </c>
      <c r="AE256" s="29" t="s">
        <v>43</v>
      </c>
      <c r="AF256" s="25">
        <v>10</v>
      </c>
      <c r="AG256" s="25">
        <v>0</v>
      </c>
      <c r="AH256" s="25">
        <v>2</v>
      </c>
      <c r="AI256" s="25">
        <v>0</v>
      </c>
      <c r="AJ256" s="25">
        <v>0</v>
      </c>
      <c r="AK256" s="29">
        <v>8.1999999999999993</v>
      </c>
      <c r="AL256">
        <v>25</v>
      </c>
      <c r="AM256" t="s">
        <v>482</v>
      </c>
      <c r="AN256" t="s">
        <v>67</v>
      </c>
    </row>
    <row r="257" spans="1:40">
      <c r="A257" s="4" t="s">
        <v>478</v>
      </c>
      <c r="B257">
        <v>1993</v>
      </c>
      <c r="C257">
        <v>43</v>
      </c>
      <c r="D257">
        <v>4</v>
      </c>
      <c r="E257">
        <v>6</v>
      </c>
      <c r="F257">
        <v>44</v>
      </c>
      <c r="G257">
        <v>62</v>
      </c>
      <c r="H257">
        <v>6</v>
      </c>
      <c r="I257" t="s">
        <v>316</v>
      </c>
      <c r="J257" t="s">
        <v>317</v>
      </c>
      <c r="K257" t="s">
        <v>334</v>
      </c>
      <c r="L257" t="s">
        <v>438</v>
      </c>
      <c r="M257" t="str">
        <f t="shared" si="6"/>
        <v>Phaseolus</v>
      </c>
      <c r="N257" s="7" t="s">
        <v>491</v>
      </c>
      <c r="O257" t="s">
        <v>492</v>
      </c>
      <c r="P257" t="str">
        <f t="shared" si="7"/>
        <v>Very High</v>
      </c>
      <c r="Q257">
        <v>0.88</v>
      </c>
      <c r="R257" s="25">
        <v>1200</v>
      </c>
      <c r="S257">
        <v>0</v>
      </c>
      <c r="T257" s="5" t="s">
        <v>481</v>
      </c>
      <c r="U257" s="1" t="s">
        <v>115</v>
      </c>
      <c r="V257" s="1" t="s">
        <v>47</v>
      </c>
      <c r="W257" s="25">
        <v>10</v>
      </c>
      <c r="X257" s="25" t="s">
        <v>43</v>
      </c>
      <c r="Y257" t="s">
        <v>48</v>
      </c>
      <c r="Z257" s="25">
        <v>100</v>
      </c>
      <c r="AA257" s="25">
        <v>20</v>
      </c>
      <c r="AB257" s="25">
        <v>1</v>
      </c>
      <c r="AC257" s="25">
        <v>0</v>
      </c>
      <c r="AD257" s="25">
        <v>1</v>
      </c>
      <c r="AE257" s="29" t="s">
        <v>43</v>
      </c>
      <c r="AF257" s="25">
        <v>10</v>
      </c>
      <c r="AG257" s="25">
        <v>0</v>
      </c>
      <c r="AH257" s="25">
        <v>2</v>
      </c>
      <c r="AI257" s="25">
        <v>0</v>
      </c>
      <c r="AJ257" s="25">
        <v>0</v>
      </c>
      <c r="AK257" s="29">
        <v>8.1999999999999993</v>
      </c>
      <c r="AL257">
        <v>25</v>
      </c>
      <c r="AM257" t="s">
        <v>482</v>
      </c>
      <c r="AN257" t="s">
        <v>67</v>
      </c>
    </row>
    <row r="258" spans="1:40">
      <c r="A258" s="4" t="s">
        <v>478</v>
      </c>
      <c r="B258">
        <v>1993</v>
      </c>
      <c r="C258">
        <v>43</v>
      </c>
      <c r="D258">
        <v>4</v>
      </c>
      <c r="E258">
        <v>6</v>
      </c>
      <c r="F258">
        <v>44</v>
      </c>
      <c r="G258">
        <v>62</v>
      </c>
      <c r="H258">
        <v>7</v>
      </c>
      <c r="I258" t="s">
        <v>316</v>
      </c>
      <c r="J258" t="s">
        <v>317</v>
      </c>
      <c r="K258" t="s">
        <v>334</v>
      </c>
      <c r="L258" t="s">
        <v>438</v>
      </c>
      <c r="M258" t="str">
        <f t="shared" ref="M258:M321" si="8">LEFT(N258,FIND(" ",N258)-1)</f>
        <v>Phaseolus</v>
      </c>
      <c r="N258" s="7" t="s">
        <v>493</v>
      </c>
      <c r="O258" s="2" t="s">
        <v>494</v>
      </c>
      <c r="P258" t="str">
        <f t="shared" ref="P258:P321" si="9">IF(Q258&lt;0.17,"Low",IF(Q258&lt;0.48,"Moderate",IF(Q258&lt;0.77,"High", "Very High")))</f>
        <v>Very High</v>
      </c>
      <c r="Q258">
        <v>0.92</v>
      </c>
      <c r="R258" s="25">
        <v>1200</v>
      </c>
      <c r="S258">
        <v>0</v>
      </c>
      <c r="T258" s="5" t="s">
        <v>481</v>
      </c>
      <c r="U258" s="1" t="s">
        <v>115</v>
      </c>
      <c r="V258" s="1" t="s">
        <v>47</v>
      </c>
      <c r="W258" s="25">
        <v>10</v>
      </c>
      <c r="X258" s="25" t="s">
        <v>43</v>
      </c>
      <c r="Y258" t="s">
        <v>48</v>
      </c>
      <c r="Z258" s="25">
        <v>100</v>
      </c>
      <c r="AA258" s="25">
        <v>20</v>
      </c>
      <c r="AB258" s="25">
        <v>1</v>
      </c>
      <c r="AC258" s="25">
        <v>0</v>
      </c>
      <c r="AD258" s="25">
        <v>1</v>
      </c>
      <c r="AE258" s="29" t="s">
        <v>43</v>
      </c>
      <c r="AF258" s="25">
        <v>10</v>
      </c>
      <c r="AG258" s="25">
        <v>0</v>
      </c>
      <c r="AH258" s="25">
        <v>2</v>
      </c>
      <c r="AI258" s="25">
        <v>0</v>
      </c>
      <c r="AJ258" s="25">
        <v>0</v>
      </c>
      <c r="AK258" s="29">
        <v>8.1999999999999993</v>
      </c>
      <c r="AL258">
        <v>25</v>
      </c>
      <c r="AM258" t="s">
        <v>482</v>
      </c>
      <c r="AN258" t="s">
        <v>67</v>
      </c>
    </row>
    <row r="259" spans="1:40">
      <c r="A259" s="4" t="s">
        <v>478</v>
      </c>
      <c r="B259">
        <v>1993</v>
      </c>
      <c r="C259">
        <v>43</v>
      </c>
      <c r="D259">
        <v>4</v>
      </c>
      <c r="E259">
        <v>6</v>
      </c>
      <c r="F259">
        <v>44</v>
      </c>
      <c r="G259">
        <v>62</v>
      </c>
      <c r="H259">
        <v>8</v>
      </c>
      <c r="I259" t="s">
        <v>316</v>
      </c>
      <c r="J259" t="s">
        <v>317</v>
      </c>
      <c r="K259" t="s">
        <v>334</v>
      </c>
      <c r="L259" t="s">
        <v>438</v>
      </c>
      <c r="M259" t="str">
        <f t="shared" si="8"/>
        <v>Phaseolus</v>
      </c>
      <c r="N259" s="7" t="s">
        <v>495</v>
      </c>
      <c r="O259" s="2" t="s">
        <v>496</v>
      </c>
      <c r="P259" t="str">
        <f t="shared" si="9"/>
        <v>Moderate</v>
      </c>
      <c r="Q259">
        <v>0.39</v>
      </c>
      <c r="R259" s="25">
        <v>1200</v>
      </c>
      <c r="S259">
        <v>0</v>
      </c>
      <c r="T259" s="5" t="s">
        <v>481</v>
      </c>
      <c r="U259" s="1" t="s">
        <v>115</v>
      </c>
      <c r="V259" s="1" t="s">
        <v>47</v>
      </c>
      <c r="W259" s="25">
        <v>10</v>
      </c>
      <c r="X259" s="25" t="s">
        <v>43</v>
      </c>
      <c r="Y259" t="s">
        <v>48</v>
      </c>
      <c r="Z259" s="25">
        <v>100</v>
      </c>
      <c r="AA259" s="25">
        <v>20</v>
      </c>
      <c r="AB259" s="25">
        <v>1</v>
      </c>
      <c r="AC259" s="25">
        <v>0</v>
      </c>
      <c r="AD259" s="25">
        <v>1</v>
      </c>
      <c r="AE259" s="29" t="s">
        <v>43</v>
      </c>
      <c r="AF259" s="25">
        <v>10</v>
      </c>
      <c r="AG259" s="25">
        <v>0</v>
      </c>
      <c r="AH259" s="25">
        <v>2</v>
      </c>
      <c r="AI259" s="25">
        <v>0</v>
      </c>
      <c r="AJ259" s="25">
        <v>0</v>
      </c>
      <c r="AK259" s="29">
        <v>8.1999999999999993</v>
      </c>
      <c r="AL259">
        <v>25</v>
      </c>
      <c r="AM259" t="s">
        <v>482</v>
      </c>
      <c r="AN259" t="s">
        <v>67</v>
      </c>
    </row>
    <row r="260" spans="1:40">
      <c r="A260" s="4" t="s">
        <v>172</v>
      </c>
      <c r="B260">
        <v>1985</v>
      </c>
      <c r="C260">
        <v>43</v>
      </c>
      <c r="D260">
        <v>4</v>
      </c>
      <c r="E260">
        <v>6</v>
      </c>
      <c r="F260">
        <v>44</v>
      </c>
      <c r="G260">
        <v>62</v>
      </c>
      <c r="H260">
        <v>9</v>
      </c>
      <c r="I260" t="s">
        <v>316</v>
      </c>
      <c r="J260" t="s">
        <v>317</v>
      </c>
      <c r="K260" t="s">
        <v>334</v>
      </c>
      <c r="L260" t="s">
        <v>438</v>
      </c>
      <c r="M260" t="str">
        <f t="shared" si="8"/>
        <v>Phaseolus</v>
      </c>
      <c r="N260" s="7" t="s">
        <v>497</v>
      </c>
      <c r="O260" t="s">
        <v>43</v>
      </c>
      <c r="P260" t="str">
        <f t="shared" si="9"/>
        <v>High</v>
      </c>
      <c r="Q260">
        <v>0.64</v>
      </c>
      <c r="R260" s="25">
        <v>1000</v>
      </c>
      <c r="S260">
        <v>0</v>
      </c>
      <c r="T260" s="5" t="s">
        <v>173</v>
      </c>
      <c r="U260" s="2" t="s">
        <v>88</v>
      </c>
      <c r="V260" s="1" t="s">
        <v>47</v>
      </c>
      <c r="W260" s="25">
        <v>10</v>
      </c>
      <c r="X260" s="25">
        <v>0.5</v>
      </c>
      <c r="Y260" t="s">
        <v>48</v>
      </c>
      <c r="Z260" s="25">
        <v>100</v>
      </c>
      <c r="AA260" s="25">
        <v>20</v>
      </c>
      <c r="AB260" s="25">
        <v>5</v>
      </c>
      <c r="AC260" s="25" t="s">
        <v>43</v>
      </c>
      <c r="AD260" s="25">
        <v>0.1</v>
      </c>
      <c r="AE260" s="29">
        <v>0.5</v>
      </c>
      <c r="AF260" s="25">
        <v>10</v>
      </c>
      <c r="AG260" s="25">
        <v>0</v>
      </c>
      <c r="AH260" s="25">
        <v>0</v>
      </c>
      <c r="AI260" s="25">
        <v>0</v>
      </c>
      <c r="AJ260" s="25">
        <v>0</v>
      </c>
      <c r="AK260" s="29">
        <v>7.8</v>
      </c>
      <c r="AL260">
        <v>25</v>
      </c>
      <c r="AM260" t="s">
        <v>43</v>
      </c>
      <c r="AN260" t="s">
        <v>67</v>
      </c>
    </row>
    <row r="261" spans="1:40">
      <c r="A261" s="4" t="s">
        <v>315</v>
      </c>
      <c r="B261">
        <v>1992</v>
      </c>
      <c r="C261">
        <v>43</v>
      </c>
      <c r="D261">
        <v>4</v>
      </c>
      <c r="E261">
        <v>6</v>
      </c>
      <c r="F261">
        <v>44</v>
      </c>
      <c r="G261">
        <v>62</v>
      </c>
      <c r="H261">
        <v>9</v>
      </c>
      <c r="I261" t="s">
        <v>316</v>
      </c>
      <c r="J261" t="s">
        <v>317</v>
      </c>
      <c r="K261" t="s">
        <v>334</v>
      </c>
      <c r="L261" t="s">
        <v>438</v>
      </c>
      <c r="M261" t="str">
        <f t="shared" si="8"/>
        <v>Phaseolus</v>
      </c>
      <c r="N261" s="7" t="s">
        <v>497</v>
      </c>
      <c r="O261" t="s">
        <v>43</v>
      </c>
      <c r="P261" t="str">
        <f t="shared" si="9"/>
        <v>Moderate</v>
      </c>
      <c r="Q261">
        <v>0.32200000000000001</v>
      </c>
      <c r="R261" s="25">
        <v>330</v>
      </c>
      <c r="S261">
        <v>0</v>
      </c>
      <c r="T261" s="5" t="s">
        <v>321</v>
      </c>
      <c r="U261" s="1" t="s">
        <v>322</v>
      </c>
      <c r="V261" s="1" t="s">
        <v>47</v>
      </c>
      <c r="W261" s="25" t="s">
        <v>43</v>
      </c>
      <c r="X261" s="25">
        <v>0.5</v>
      </c>
      <c r="Y261" t="s">
        <v>76</v>
      </c>
      <c r="Z261" s="25">
        <v>50</v>
      </c>
      <c r="AA261" s="25">
        <v>5</v>
      </c>
      <c r="AB261" s="25">
        <v>5</v>
      </c>
      <c r="AC261" s="25">
        <v>0</v>
      </c>
      <c r="AD261" s="25">
        <v>0</v>
      </c>
      <c r="AE261" s="29">
        <v>0.2</v>
      </c>
      <c r="AF261" s="25">
        <v>20</v>
      </c>
      <c r="AG261" s="25">
        <v>0</v>
      </c>
      <c r="AH261" s="25">
        <v>0</v>
      </c>
      <c r="AI261" s="25">
        <v>0</v>
      </c>
      <c r="AJ261" s="25">
        <v>0</v>
      </c>
      <c r="AK261" s="29">
        <v>8</v>
      </c>
      <c r="AL261">
        <v>25</v>
      </c>
      <c r="AM261" t="s">
        <v>323</v>
      </c>
      <c r="AN261" t="s">
        <v>67</v>
      </c>
    </row>
    <row r="262" spans="1:40">
      <c r="A262" s="4" t="s">
        <v>478</v>
      </c>
      <c r="B262">
        <v>1993</v>
      </c>
      <c r="C262">
        <v>43</v>
      </c>
      <c r="D262">
        <v>4</v>
      </c>
      <c r="E262">
        <v>6</v>
      </c>
      <c r="F262">
        <v>44</v>
      </c>
      <c r="G262">
        <v>62</v>
      </c>
      <c r="H262">
        <v>9</v>
      </c>
      <c r="I262" t="s">
        <v>316</v>
      </c>
      <c r="J262" t="s">
        <v>317</v>
      </c>
      <c r="K262" t="s">
        <v>334</v>
      </c>
      <c r="L262" t="s">
        <v>438</v>
      </c>
      <c r="M262" t="str">
        <f t="shared" si="8"/>
        <v>Phaseolus</v>
      </c>
      <c r="N262" s="7" t="s">
        <v>497</v>
      </c>
      <c r="O262" t="s">
        <v>498</v>
      </c>
      <c r="P262" t="str">
        <f t="shared" si="9"/>
        <v>High</v>
      </c>
      <c r="Q262">
        <v>0.68700000000000006</v>
      </c>
      <c r="R262" s="25">
        <v>1200</v>
      </c>
      <c r="S262">
        <v>0</v>
      </c>
      <c r="T262" s="5" t="s">
        <v>481</v>
      </c>
      <c r="U262" s="1" t="s">
        <v>115</v>
      </c>
      <c r="V262" s="1" t="s">
        <v>47</v>
      </c>
      <c r="W262" s="25">
        <v>10</v>
      </c>
      <c r="X262" s="25" t="s">
        <v>43</v>
      </c>
      <c r="Y262" t="s">
        <v>48</v>
      </c>
      <c r="Z262" s="25">
        <v>100</v>
      </c>
      <c r="AA262" s="25">
        <v>20</v>
      </c>
      <c r="AB262" s="25">
        <v>1</v>
      </c>
      <c r="AC262" s="25">
        <v>0</v>
      </c>
      <c r="AD262" s="25">
        <v>1</v>
      </c>
      <c r="AE262" s="29" t="s">
        <v>43</v>
      </c>
      <c r="AF262" s="25">
        <v>10</v>
      </c>
      <c r="AG262" s="25">
        <v>0</v>
      </c>
      <c r="AH262" s="25">
        <v>2</v>
      </c>
      <c r="AI262" s="25">
        <v>0</v>
      </c>
      <c r="AJ262" s="25">
        <v>0</v>
      </c>
      <c r="AK262" s="29">
        <v>8.1999999999999993</v>
      </c>
      <c r="AL262">
        <v>25</v>
      </c>
      <c r="AM262" t="s">
        <v>482</v>
      </c>
      <c r="AN262" t="s">
        <v>67</v>
      </c>
    </row>
    <row r="263" spans="1:40">
      <c r="A263" s="4" t="s">
        <v>478</v>
      </c>
      <c r="B263">
        <v>1993</v>
      </c>
      <c r="C263">
        <v>43</v>
      </c>
      <c r="D263">
        <v>4</v>
      </c>
      <c r="E263">
        <v>6</v>
      </c>
      <c r="F263">
        <v>44</v>
      </c>
      <c r="G263">
        <v>62</v>
      </c>
      <c r="H263">
        <v>9</v>
      </c>
      <c r="I263" t="s">
        <v>316</v>
      </c>
      <c r="J263" t="s">
        <v>317</v>
      </c>
      <c r="K263" t="s">
        <v>334</v>
      </c>
      <c r="L263" t="s">
        <v>438</v>
      </c>
      <c r="M263" t="str">
        <f t="shared" si="8"/>
        <v>Phaseolus</v>
      </c>
      <c r="N263" s="7" t="s">
        <v>497</v>
      </c>
      <c r="O263" t="s">
        <v>499</v>
      </c>
      <c r="P263" t="str">
        <f t="shared" si="9"/>
        <v>High</v>
      </c>
      <c r="Q263">
        <v>0.64200000000000002</v>
      </c>
      <c r="R263" s="25">
        <v>1200</v>
      </c>
      <c r="S263">
        <v>0</v>
      </c>
      <c r="T263" s="5" t="s">
        <v>481</v>
      </c>
      <c r="U263" s="1" t="s">
        <v>115</v>
      </c>
      <c r="V263" s="1" t="s">
        <v>47</v>
      </c>
      <c r="W263" s="25">
        <v>10</v>
      </c>
      <c r="X263" s="25" t="s">
        <v>43</v>
      </c>
      <c r="Y263" t="s">
        <v>48</v>
      </c>
      <c r="Z263" s="25">
        <v>100</v>
      </c>
      <c r="AA263" s="25">
        <v>20</v>
      </c>
      <c r="AB263" s="25">
        <v>1</v>
      </c>
      <c r="AC263" s="25">
        <v>0</v>
      </c>
      <c r="AD263" s="25">
        <v>1</v>
      </c>
      <c r="AE263" s="29" t="s">
        <v>43</v>
      </c>
      <c r="AF263" s="25">
        <v>10</v>
      </c>
      <c r="AG263" s="25">
        <v>0</v>
      </c>
      <c r="AH263" s="25">
        <v>2</v>
      </c>
      <c r="AI263" s="25">
        <v>0</v>
      </c>
      <c r="AJ263" s="25">
        <v>0</v>
      </c>
      <c r="AK263" s="29">
        <v>8.1999999999999993</v>
      </c>
      <c r="AL263">
        <v>25</v>
      </c>
      <c r="AM263" t="s">
        <v>482</v>
      </c>
      <c r="AN263" t="s">
        <v>67</v>
      </c>
    </row>
    <row r="264" spans="1:40">
      <c r="A264" s="4" t="s">
        <v>478</v>
      </c>
      <c r="B264">
        <v>1993</v>
      </c>
      <c r="C264">
        <v>43</v>
      </c>
      <c r="D264">
        <v>4</v>
      </c>
      <c r="E264">
        <v>6</v>
      </c>
      <c r="F264">
        <v>44</v>
      </c>
      <c r="G264">
        <v>62</v>
      </c>
      <c r="H264">
        <v>9</v>
      </c>
      <c r="I264" t="s">
        <v>316</v>
      </c>
      <c r="J264" t="s">
        <v>317</v>
      </c>
      <c r="K264" t="s">
        <v>334</v>
      </c>
      <c r="L264" t="s">
        <v>438</v>
      </c>
      <c r="M264" t="str">
        <f t="shared" si="8"/>
        <v>Phaseolus</v>
      </c>
      <c r="N264" s="7" t="s">
        <v>497</v>
      </c>
      <c r="O264" t="s">
        <v>500</v>
      </c>
      <c r="P264" t="str">
        <f t="shared" si="9"/>
        <v>High</v>
      </c>
      <c r="Q264">
        <v>0.61799999999999999</v>
      </c>
      <c r="R264" s="25">
        <v>1200</v>
      </c>
      <c r="S264">
        <v>0</v>
      </c>
      <c r="T264" s="5" t="s">
        <v>481</v>
      </c>
      <c r="U264" s="1" t="s">
        <v>115</v>
      </c>
      <c r="V264" s="1" t="s">
        <v>47</v>
      </c>
      <c r="W264" s="25">
        <v>10</v>
      </c>
      <c r="X264" s="25" t="s">
        <v>43</v>
      </c>
      <c r="Y264" t="s">
        <v>48</v>
      </c>
      <c r="Z264" s="25">
        <v>100</v>
      </c>
      <c r="AA264" s="25">
        <v>20</v>
      </c>
      <c r="AB264" s="25">
        <v>1</v>
      </c>
      <c r="AC264" s="25">
        <v>0</v>
      </c>
      <c r="AD264" s="25">
        <v>1</v>
      </c>
      <c r="AE264" s="29" t="s">
        <v>43</v>
      </c>
      <c r="AF264" s="25">
        <v>10</v>
      </c>
      <c r="AG264" s="25">
        <v>0</v>
      </c>
      <c r="AH264" s="25">
        <v>2</v>
      </c>
      <c r="AI264" s="25">
        <v>0</v>
      </c>
      <c r="AJ264" s="25">
        <v>0</v>
      </c>
      <c r="AK264" s="29">
        <v>8.1999999999999993</v>
      </c>
      <c r="AL264">
        <v>25</v>
      </c>
      <c r="AM264" t="s">
        <v>482</v>
      </c>
      <c r="AN264" t="s">
        <v>67</v>
      </c>
    </row>
    <row r="265" spans="1:40">
      <c r="A265" s="4" t="s">
        <v>478</v>
      </c>
      <c r="B265">
        <v>1993</v>
      </c>
      <c r="C265">
        <v>43</v>
      </c>
      <c r="D265">
        <v>4</v>
      </c>
      <c r="E265">
        <v>6</v>
      </c>
      <c r="F265">
        <v>44</v>
      </c>
      <c r="G265">
        <v>62</v>
      </c>
      <c r="H265">
        <v>9</v>
      </c>
      <c r="I265" t="s">
        <v>316</v>
      </c>
      <c r="J265" t="s">
        <v>317</v>
      </c>
      <c r="K265" t="s">
        <v>334</v>
      </c>
      <c r="L265" t="s">
        <v>438</v>
      </c>
      <c r="M265" t="str">
        <f t="shared" si="8"/>
        <v>Phaseolus</v>
      </c>
      <c r="N265" s="7" t="s">
        <v>497</v>
      </c>
      <c r="O265" s="2" t="s">
        <v>501</v>
      </c>
      <c r="P265" t="str">
        <f t="shared" si="9"/>
        <v>High</v>
      </c>
      <c r="Q265">
        <v>0.65</v>
      </c>
      <c r="R265" s="25">
        <v>1200</v>
      </c>
      <c r="S265">
        <v>0</v>
      </c>
      <c r="T265" s="5" t="s">
        <v>481</v>
      </c>
      <c r="U265" s="1" t="s">
        <v>115</v>
      </c>
      <c r="V265" s="1" t="s">
        <v>47</v>
      </c>
      <c r="W265" s="25">
        <v>10</v>
      </c>
      <c r="X265" s="25" t="s">
        <v>43</v>
      </c>
      <c r="Y265" t="s">
        <v>48</v>
      </c>
      <c r="Z265" s="25">
        <v>100</v>
      </c>
      <c r="AA265" s="25">
        <v>20</v>
      </c>
      <c r="AB265" s="25">
        <v>1</v>
      </c>
      <c r="AC265" s="25">
        <v>0</v>
      </c>
      <c r="AD265" s="25">
        <v>1</v>
      </c>
      <c r="AE265" s="29" t="s">
        <v>43</v>
      </c>
      <c r="AF265" s="25">
        <v>10</v>
      </c>
      <c r="AG265" s="25">
        <v>0</v>
      </c>
      <c r="AH265" s="25">
        <v>2</v>
      </c>
      <c r="AI265" s="25">
        <v>0</v>
      </c>
      <c r="AJ265" s="25">
        <v>0</v>
      </c>
      <c r="AK265" s="29">
        <v>8.1999999999999993</v>
      </c>
      <c r="AL265">
        <v>25</v>
      </c>
      <c r="AM265" t="s">
        <v>482</v>
      </c>
      <c r="AN265" t="s">
        <v>67</v>
      </c>
    </row>
    <row r="266" spans="1:40">
      <c r="A266" s="4" t="s">
        <v>502</v>
      </c>
      <c r="B266">
        <v>1986</v>
      </c>
      <c r="C266">
        <v>43</v>
      </c>
      <c r="D266">
        <v>4</v>
      </c>
      <c r="E266">
        <v>6</v>
      </c>
      <c r="F266">
        <v>44</v>
      </c>
      <c r="G266">
        <v>62</v>
      </c>
      <c r="H266">
        <v>10</v>
      </c>
      <c r="I266" t="s">
        <v>316</v>
      </c>
      <c r="J266" t="s">
        <v>317</v>
      </c>
      <c r="K266" t="s">
        <v>334</v>
      </c>
      <c r="L266" t="s">
        <v>438</v>
      </c>
      <c r="M266" t="str">
        <f t="shared" si="8"/>
        <v>Phaseolus</v>
      </c>
      <c r="N266" s="7" t="s">
        <v>503</v>
      </c>
      <c r="O266" t="s">
        <v>504</v>
      </c>
      <c r="P266" t="str">
        <f t="shared" si="9"/>
        <v>Very High</v>
      </c>
      <c r="Q266">
        <f>1-0.1</f>
        <v>0.9</v>
      </c>
      <c r="R266" s="25">
        <v>1000</v>
      </c>
      <c r="S266">
        <v>0</v>
      </c>
      <c r="T266" s="5" t="s">
        <v>505</v>
      </c>
      <c r="U266" s="1" t="s">
        <v>506</v>
      </c>
      <c r="V266" s="1" t="s">
        <v>47</v>
      </c>
      <c r="W266" s="25">
        <v>10</v>
      </c>
      <c r="X266" s="25" t="s">
        <v>43</v>
      </c>
      <c r="Y266" t="s">
        <v>48</v>
      </c>
      <c r="Z266" s="25">
        <v>100</v>
      </c>
      <c r="AA266" s="25">
        <v>20</v>
      </c>
      <c r="AB266" s="25">
        <v>0.5</v>
      </c>
      <c r="AC266" s="25">
        <v>0</v>
      </c>
      <c r="AD266" s="25">
        <v>1</v>
      </c>
      <c r="AE266" s="29">
        <v>0.5</v>
      </c>
      <c r="AF266" s="25">
        <v>13</v>
      </c>
      <c r="AG266" s="25">
        <v>0</v>
      </c>
      <c r="AH266" s="25">
        <v>0</v>
      </c>
      <c r="AI266" s="25">
        <v>0</v>
      </c>
      <c r="AJ266" s="25">
        <v>0</v>
      </c>
      <c r="AK266" s="29">
        <v>8.1999999999999993</v>
      </c>
      <c r="AL266">
        <v>25</v>
      </c>
      <c r="AM266" t="s">
        <v>43</v>
      </c>
      <c r="AN266" t="s">
        <v>67</v>
      </c>
    </row>
    <row r="267" spans="1:40">
      <c r="A267" s="4" t="s">
        <v>172</v>
      </c>
      <c r="B267">
        <v>1985</v>
      </c>
      <c r="C267">
        <v>43</v>
      </c>
      <c r="D267">
        <v>4</v>
      </c>
      <c r="E267">
        <v>6</v>
      </c>
      <c r="F267">
        <v>44</v>
      </c>
      <c r="G267">
        <v>62</v>
      </c>
      <c r="H267">
        <v>10</v>
      </c>
      <c r="I267" t="s">
        <v>316</v>
      </c>
      <c r="J267" t="s">
        <v>317</v>
      </c>
      <c r="K267" t="s">
        <v>334</v>
      </c>
      <c r="L267" t="s">
        <v>438</v>
      </c>
      <c r="M267" t="str">
        <f t="shared" si="8"/>
        <v>Phaseolus</v>
      </c>
      <c r="N267" s="7" t="s">
        <v>503</v>
      </c>
      <c r="O267" t="s">
        <v>507</v>
      </c>
      <c r="P267" t="str">
        <f t="shared" si="9"/>
        <v>Very High</v>
      </c>
      <c r="Q267">
        <v>0.93</v>
      </c>
      <c r="R267" s="25">
        <v>1000</v>
      </c>
      <c r="S267">
        <v>0</v>
      </c>
      <c r="T267" s="5" t="s">
        <v>173</v>
      </c>
      <c r="U267" s="2" t="s">
        <v>88</v>
      </c>
      <c r="V267" s="1" t="s">
        <v>47</v>
      </c>
      <c r="W267" s="25">
        <v>10</v>
      </c>
      <c r="X267" s="25">
        <v>0.5</v>
      </c>
      <c r="Y267" t="s">
        <v>48</v>
      </c>
      <c r="Z267" s="25">
        <v>100</v>
      </c>
      <c r="AA267" s="25">
        <v>20</v>
      </c>
      <c r="AB267" s="25">
        <v>5</v>
      </c>
      <c r="AC267" s="25" t="s">
        <v>43</v>
      </c>
      <c r="AD267" s="25">
        <v>0.1</v>
      </c>
      <c r="AE267" s="29">
        <v>0.5</v>
      </c>
      <c r="AF267" s="25">
        <v>10</v>
      </c>
      <c r="AG267" s="25">
        <v>0</v>
      </c>
      <c r="AH267" s="25">
        <v>0</v>
      </c>
      <c r="AI267" s="25">
        <v>0</v>
      </c>
      <c r="AJ267" s="25">
        <v>0</v>
      </c>
      <c r="AK267" s="29">
        <v>7.8</v>
      </c>
      <c r="AL267">
        <v>25</v>
      </c>
      <c r="AM267" t="s">
        <v>43</v>
      </c>
      <c r="AN267" t="s">
        <v>67</v>
      </c>
    </row>
    <row r="268" spans="1:40">
      <c r="A268" s="4" t="s">
        <v>105</v>
      </c>
      <c r="B268">
        <v>1986</v>
      </c>
      <c r="C268">
        <v>43</v>
      </c>
      <c r="D268">
        <v>4</v>
      </c>
      <c r="E268">
        <v>6</v>
      </c>
      <c r="F268">
        <v>44</v>
      </c>
      <c r="G268">
        <v>62</v>
      </c>
      <c r="H268">
        <v>10</v>
      </c>
      <c r="I268" t="s">
        <v>316</v>
      </c>
      <c r="J268" t="s">
        <v>317</v>
      </c>
      <c r="K268" t="s">
        <v>334</v>
      </c>
      <c r="L268" t="s">
        <v>438</v>
      </c>
      <c r="M268" t="str">
        <f t="shared" si="8"/>
        <v>Phaseolus</v>
      </c>
      <c r="N268" s="7" t="s">
        <v>503</v>
      </c>
      <c r="O268" t="s">
        <v>43</v>
      </c>
      <c r="P268" t="str">
        <f t="shared" si="9"/>
        <v>Very High</v>
      </c>
      <c r="Q268">
        <v>0.90749999999999997</v>
      </c>
      <c r="R268" s="25">
        <v>1000</v>
      </c>
      <c r="S268">
        <v>10</v>
      </c>
      <c r="T268" s="5" t="s">
        <v>110</v>
      </c>
      <c r="U268" s="1" t="s">
        <v>111</v>
      </c>
      <c r="V268" s="1" t="s">
        <v>47</v>
      </c>
      <c r="W268" s="25">
        <v>10</v>
      </c>
      <c r="X268" s="25">
        <v>0.5</v>
      </c>
      <c r="Y268" t="s">
        <v>48</v>
      </c>
      <c r="Z268" s="25">
        <v>100</v>
      </c>
      <c r="AA268" s="25">
        <v>5</v>
      </c>
      <c r="AB268" s="25">
        <v>0</v>
      </c>
      <c r="AC268" s="25">
        <v>5</v>
      </c>
      <c r="AD268" s="25">
        <v>0</v>
      </c>
      <c r="AE268" s="29">
        <v>0.66</v>
      </c>
      <c r="AF268" s="25">
        <v>10</v>
      </c>
      <c r="AG268" s="25">
        <v>0</v>
      </c>
      <c r="AH268" s="25">
        <v>0</v>
      </c>
      <c r="AI268" s="25">
        <v>0</v>
      </c>
      <c r="AJ268" s="25">
        <v>0</v>
      </c>
      <c r="AK268" s="29">
        <v>8</v>
      </c>
      <c r="AL268">
        <v>25</v>
      </c>
      <c r="AM268" t="s">
        <v>43</v>
      </c>
      <c r="AN268" t="s">
        <v>67</v>
      </c>
    </row>
    <row r="269" spans="1:40">
      <c r="A269" s="4" t="s">
        <v>248</v>
      </c>
      <c r="B269">
        <v>1988</v>
      </c>
      <c r="C269">
        <v>43</v>
      </c>
      <c r="D269">
        <v>4</v>
      </c>
      <c r="E269">
        <v>6</v>
      </c>
      <c r="F269">
        <v>44</v>
      </c>
      <c r="G269">
        <v>62</v>
      </c>
      <c r="H269">
        <v>10</v>
      </c>
      <c r="I269" t="s">
        <v>316</v>
      </c>
      <c r="J269" t="s">
        <v>317</v>
      </c>
      <c r="K269" t="s">
        <v>334</v>
      </c>
      <c r="L269" t="s">
        <v>438</v>
      </c>
      <c r="M269" t="str">
        <f t="shared" si="8"/>
        <v>Phaseolus</v>
      </c>
      <c r="N269" s="7" t="s">
        <v>503</v>
      </c>
      <c r="O269" t="s">
        <v>43</v>
      </c>
      <c r="P269" t="str">
        <f t="shared" si="9"/>
        <v>Very High</v>
      </c>
      <c r="Q269">
        <f>1-(2.59/17.96)</f>
        <v>0.85579064587973275</v>
      </c>
      <c r="R269" s="25">
        <v>400</v>
      </c>
      <c r="S269">
        <v>0</v>
      </c>
      <c r="T269" s="5" t="s">
        <v>249</v>
      </c>
      <c r="U269" s="2" t="s">
        <v>88</v>
      </c>
      <c r="V269" s="1" t="s">
        <v>47</v>
      </c>
      <c r="W269" s="25">
        <v>10</v>
      </c>
      <c r="X269" s="25">
        <v>0.5</v>
      </c>
      <c r="Y269" t="s">
        <v>48</v>
      </c>
      <c r="Z269" s="25">
        <v>100</v>
      </c>
      <c r="AA269" s="25">
        <v>10</v>
      </c>
      <c r="AB269" s="25">
        <v>1</v>
      </c>
      <c r="AC269" s="25">
        <v>0</v>
      </c>
      <c r="AD269" s="25">
        <v>0.1</v>
      </c>
      <c r="AE269" s="29">
        <v>0.5</v>
      </c>
      <c r="AF269" s="25">
        <v>20</v>
      </c>
      <c r="AG269" s="25">
        <v>0</v>
      </c>
      <c r="AH269" s="25">
        <v>0</v>
      </c>
      <c r="AI269" s="25">
        <v>0</v>
      </c>
      <c r="AJ269" s="25">
        <v>0</v>
      </c>
      <c r="AK269" s="29">
        <v>7.8</v>
      </c>
      <c r="AL269">
        <v>25</v>
      </c>
      <c r="AM269" t="s">
        <v>43</v>
      </c>
      <c r="AN269" t="s">
        <v>89</v>
      </c>
    </row>
    <row r="270" spans="1:40">
      <c r="A270" s="4" t="s">
        <v>253</v>
      </c>
      <c r="B270">
        <v>1989</v>
      </c>
      <c r="C270">
        <v>43</v>
      </c>
      <c r="D270">
        <v>4</v>
      </c>
      <c r="E270">
        <v>6</v>
      </c>
      <c r="F270">
        <v>44</v>
      </c>
      <c r="G270">
        <v>62</v>
      </c>
      <c r="H270">
        <v>10</v>
      </c>
      <c r="I270" t="s">
        <v>316</v>
      </c>
      <c r="J270" t="s">
        <v>317</v>
      </c>
      <c r="K270" t="s">
        <v>334</v>
      </c>
      <c r="L270" t="s">
        <v>438</v>
      </c>
      <c r="M270" t="str">
        <f t="shared" si="8"/>
        <v>Phaseolus</v>
      </c>
      <c r="N270" s="7" t="s">
        <v>503</v>
      </c>
      <c r="O270" t="s">
        <v>508</v>
      </c>
      <c r="P270" t="str">
        <f t="shared" si="9"/>
        <v>Very High</v>
      </c>
      <c r="Q270">
        <f>1-(2.87/17.907)</f>
        <v>0.83972748087340143</v>
      </c>
      <c r="R270" s="25">
        <v>600</v>
      </c>
      <c r="S270">
        <v>0</v>
      </c>
      <c r="T270" s="5" t="s">
        <v>509</v>
      </c>
      <c r="U270" s="1" t="s">
        <v>88</v>
      </c>
      <c r="V270" s="1" t="s">
        <v>47</v>
      </c>
      <c r="W270" s="25">
        <v>10</v>
      </c>
      <c r="X270" s="25">
        <v>0.5</v>
      </c>
      <c r="Y270" t="s">
        <v>48</v>
      </c>
      <c r="Z270" s="25">
        <v>100</v>
      </c>
      <c r="AA270" s="25">
        <v>20</v>
      </c>
      <c r="AB270" s="25">
        <v>5</v>
      </c>
      <c r="AC270" s="25">
        <v>0</v>
      </c>
      <c r="AD270" s="25">
        <v>1</v>
      </c>
      <c r="AE270" s="29">
        <v>1.5</v>
      </c>
      <c r="AF270" s="25">
        <v>10</v>
      </c>
      <c r="AG270" s="25">
        <v>0</v>
      </c>
      <c r="AH270" s="25">
        <v>0</v>
      </c>
      <c r="AI270" s="25">
        <v>0</v>
      </c>
      <c r="AJ270" s="25">
        <v>0</v>
      </c>
      <c r="AK270" s="29">
        <v>8.1999999999999993</v>
      </c>
      <c r="AL270">
        <v>25</v>
      </c>
      <c r="AM270" t="s">
        <v>43</v>
      </c>
      <c r="AN270" t="s">
        <v>67</v>
      </c>
    </row>
    <row r="271" spans="1:40">
      <c r="A271" s="4" t="s">
        <v>250</v>
      </c>
      <c r="B271">
        <v>1989</v>
      </c>
      <c r="C271">
        <v>43</v>
      </c>
      <c r="D271">
        <v>4</v>
      </c>
      <c r="E271">
        <v>6</v>
      </c>
      <c r="F271">
        <v>44</v>
      </c>
      <c r="G271">
        <v>62</v>
      </c>
      <c r="H271">
        <v>10</v>
      </c>
      <c r="I271" t="s">
        <v>316</v>
      </c>
      <c r="J271" t="s">
        <v>317</v>
      </c>
      <c r="K271" t="s">
        <v>334</v>
      </c>
      <c r="L271" t="s">
        <v>438</v>
      </c>
      <c r="M271" t="str">
        <f t="shared" si="8"/>
        <v>Phaseolus</v>
      </c>
      <c r="N271" s="7" t="s">
        <v>503</v>
      </c>
      <c r="O271" t="s">
        <v>508</v>
      </c>
      <c r="P271" t="str">
        <f t="shared" si="9"/>
        <v>Very High</v>
      </c>
      <c r="Q271">
        <f>1-(1.691/18.141)</f>
        <v>0.90678573397276885</v>
      </c>
      <c r="R271" s="25">
        <v>1100</v>
      </c>
      <c r="S271">
        <v>0</v>
      </c>
      <c r="T271" s="5" t="s">
        <v>252</v>
      </c>
      <c r="U271" s="1" t="s">
        <v>88</v>
      </c>
      <c r="V271" s="1" t="s">
        <v>47</v>
      </c>
      <c r="W271" s="25">
        <v>10</v>
      </c>
      <c r="X271" s="25">
        <v>0.5</v>
      </c>
      <c r="Y271" t="s">
        <v>48</v>
      </c>
      <c r="Z271" s="25">
        <v>100</v>
      </c>
      <c r="AA271" s="25">
        <v>20</v>
      </c>
      <c r="AB271" s="25">
        <v>5</v>
      </c>
      <c r="AC271" s="25">
        <v>0</v>
      </c>
      <c r="AD271" s="25">
        <v>1</v>
      </c>
      <c r="AE271" s="29">
        <v>1.5</v>
      </c>
      <c r="AF271" s="25">
        <v>10</v>
      </c>
      <c r="AG271" s="25">
        <v>0</v>
      </c>
      <c r="AH271" s="25">
        <v>0</v>
      </c>
      <c r="AI271" s="25">
        <v>0</v>
      </c>
      <c r="AJ271" s="25">
        <v>0</v>
      </c>
      <c r="AK271" s="29">
        <v>8.1999999999999993</v>
      </c>
      <c r="AL271">
        <v>25</v>
      </c>
      <c r="AM271" t="s">
        <v>43</v>
      </c>
      <c r="AN271" t="s">
        <v>67</v>
      </c>
    </row>
    <row r="272" spans="1:40">
      <c r="A272" s="4" t="s">
        <v>315</v>
      </c>
      <c r="B272">
        <v>1992</v>
      </c>
      <c r="C272">
        <v>43</v>
      </c>
      <c r="D272">
        <v>4</v>
      </c>
      <c r="E272">
        <v>6</v>
      </c>
      <c r="F272">
        <v>44</v>
      </c>
      <c r="G272">
        <v>62</v>
      </c>
      <c r="H272">
        <v>10</v>
      </c>
      <c r="I272" t="s">
        <v>316</v>
      </c>
      <c r="J272" t="s">
        <v>317</v>
      </c>
      <c r="K272" t="s">
        <v>334</v>
      </c>
      <c r="L272" t="s">
        <v>438</v>
      </c>
      <c r="M272" t="str">
        <f t="shared" si="8"/>
        <v>Phaseolus</v>
      </c>
      <c r="N272" s="7" t="s">
        <v>503</v>
      </c>
      <c r="O272" s="2" t="s">
        <v>510</v>
      </c>
      <c r="P272" t="str">
        <f t="shared" si="9"/>
        <v>High</v>
      </c>
      <c r="Q272">
        <v>0.70299999999999996</v>
      </c>
      <c r="R272" s="25">
        <v>330</v>
      </c>
      <c r="S272">
        <v>0</v>
      </c>
      <c r="T272" s="5" t="s">
        <v>321</v>
      </c>
      <c r="U272" s="1" t="s">
        <v>322</v>
      </c>
      <c r="V272" s="1" t="s">
        <v>47</v>
      </c>
      <c r="W272" s="25" t="s">
        <v>43</v>
      </c>
      <c r="X272" s="25">
        <v>0.5</v>
      </c>
      <c r="Y272" t="s">
        <v>76</v>
      </c>
      <c r="Z272" s="25">
        <v>50</v>
      </c>
      <c r="AA272" s="25">
        <v>5</v>
      </c>
      <c r="AB272" s="25">
        <v>5</v>
      </c>
      <c r="AC272" s="25">
        <v>0</v>
      </c>
      <c r="AD272" s="25">
        <v>0</v>
      </c>
      <c r="AE272" s="29">
        <v>0.2</v>
      </c>
      <c r="AF272" s="25">
        <v>20</v>
      </c>
      <c r="AG272" s="25">
        <v>0</v>
      </c>
      <c r="AH272" s="25">
        <v>0</v>
      </c>
      <c r="AI272" s="25">
        <v>0</v>
      </c>
      <c r="AJ272" s="25">
        <v>0</v>
      </c>
      <c r="AK272" s="29">
        <v>8</v>
      </c>
      <c r="AL272">
        <v>25</v>
      </c>
      <c r="AM272" t="s">
        <v>323</v>
      </c>
      <c r="AN272" t="s">
        <v>67</v>
      </c>
    </row>
    <row r="273" spans="1:40">
      <c r="A273" s="4" t="s">
        <v>315</v>
      </c>
      <c r="B273">
        <v>1992</v>
      </c>
      <c r="C273">
        <v>43</v>
      </c>
      <c r="D273">
        <v>4</v>
      </c>
      <c r="E273">
        <v>6</v>
      </c>
      <c r="F273">
        <v>44</v>
      </c>
      <c r="G273">
        <v>62</v>
      </c>
      <c r="H273">
        <v>10</v>
      </c>
      <c r="I273" t="s">
        <v>316</v>
      </c>
      <c r="J273" t="s">
        <v>317</v>
      </c>
      <c r="K273" t="s">
        <v>334</v>
      </c>
      <c r="L273" t="s">
        <v>438</v>
      </c>
      <c r="M273" t="str">
        <f t="shared" si="8"/>
        <v>Phaseolus</v>
      </c>
      <c r="N273" s="7" t="s">
        <v>503</v>
      </c>
      <c r="O273" s="2" t="s">
        <v>511</v>
      </c>
      <c r="P273" t="str">
        <f t="shared" si="9"/>
        <v>High</v>
      </c>
      <c r="Q273">
        <v>0.71799999999999997</v>
      </c>
      <c r="R273" s="25">
        <v>330</v>
      </c>
      <c r="S273">
        <v>0</v>
      </c>
      <c r="T273" s="5" t="s">
        <v>321</v>
      </c>
      <c r="U273" s="1" t="s">
        <v>322</v>
      </c>
      <c r="V273" s="1" t="s">
        <v>47</v>
      </c>
      <c r="W273" s="25" t="s">
        <v>43</v>
      </c>
      <c r="X273" s="25">
        <v>0.5</v>
      </c>
      <c r="Y273" t="s">
        <v>76</v>
      </c>
      <c r="Z273" s="25">
        <v>50</v>
      </c>
      <c r="AA273" s="25">
        <v>5</v>
      </c>
      <c r="AB273" s="25">
        <v>5</v>
      </c>
      <c r="AC273" s="25">
        <v>0</v>
      </c>
      <c r="AD273" s="25">
        <v>0</v>
      </c>
      <c r="AE273" s="29">
        <v>0.2</v>
      </c>
      <c r="AF273" s="25">
        <v>20</v>
      </c>
      <c r="AG273" s="25">
        <v>0</v>
      </c>
      <c r="AH273" s="25">
        <v>0</v>
      </c>
      <c r="AI273" s="25">
        <v>0</v>
      </c>
      <c r="AJ273" s="25">
        <v>0</v>
      </c>
      <c r="AK273" s="29">
        <v>8</v>
      </c>
      <c r="AL273">
        <v>25</v>
      </c>
      <c r="AM273" t="s">
        <v>323</v>
      </c>
      <c r="AN273" t="s">
        <v>67</v>
      </c>
    </row>
    <row r="274" spans="1:40">
      <c r="A274" s="4" t="s">
        <v>315</v>
      </c>
      <c r="B274">
        <v>1992</v>
      </c>
      <c r="C274">
        <v>43</v>
      </c>
      <c r="D274">
        <v>4</v>
      </c>
      <c r="E274">
        <v>6</v>
      </c>
      <c r="F274">
        <v>44</v>
      </c>
      <c r="G274">
        <v>62</v>
      </c>
      <c r="H274">
        <v>10</v>
      </c>
      <c r="I274" t="s">
        <v>316</v>
      </c>
      <c r="J274" t="s">
        <v>317</v>
      </c>
      <c r="K274" t="s">
        <v>334</v>
      </c>
      <c r="L274" t="s">
        <v>438</v>
      </c>
      <c r="M274" t="str">
        <f t="shared" si="8"/>
        <v>Phaseolus</v>
      </c>
      <c r="N274" s="7" t="s">
        <v>503</v>
      </c>
      <c r="O274" t="s">
        <v>43</v>
      </c>
      <c r="P274" t="str">
        <f t="shared" si="9"/>
        <v>High</v>
      </c>
      <c r="Q274">
        <v>0.68500000000000005</v>
      </c>
      <c r="R274" s="25">
        <v>330</v>
      </c>
      <c r="S274">
        <v>0</v>
      </c>
      <c r="T274" s="5" t="s">
        <v>321</v>
      </c>
      <c r="U274" s="1" t="s">
        <v>322</v>
      </c>
      <c r="V274" s="1" t="s">
        <v>47</v>
      </c>
      <c r="W274" s="25" t="s">
        <v>43</v>
      </c>
      <c r="X274" s="25">
        <v>0.5</v>
      </c>
      <c r="Y274" t="s">
        <v>76</v>
      </c>
      <c r="Z274" s="25">
        <v>50</v>
      </c>
      <c r="AA274" s="25">
        <v>5</v>
      </c>
      <c r="AB274" s="25">
        <v>5</v>
      </c>
      <c r="AC274" s="25">
        <v>0</v>
      </c>
      <c r="AD274" s="25">
        <v>0</v>
      </c>
      <c r="AE274" s="29">
        <v>0.2</v>
      </c>
      <c r="AF274" s="25">
        <v>20</v>
      </c>
      <c r="AG274" s="25">
        <v>0</v>
      </c>
      <c r="AH274" s="25">
        <v>0</v>
      </c>
      <c r="AI274" s="25">
        <v>0</v>
      </c>
      <c r="AJ274" s="25">
        <v>0</v>
      </c>
      <c r="AK274" s="29">
        <v>8</v>
      </c>
      <c r="AL274">
        <v>25</v>
      </c>
      <c r="AM274" t="s">
        <v>323</v>
      </c>
      <c r="AN274" t="s">
        <v>67</v>
      </c>
    </row>
    <row r="275" spans="1:40">
      <c r="A275" s="4" t="s">
        <v>315</v>
      </c>
      <c r="B275">
        <v>1992</v>
      </c>
      <c r="C275">
        <v>43</v>
      </c>
      <c r="D275">
        <v>4</v>
      </c>
      <c r="E275">
        <v>6</v>
      </c>
      <c r="F275">
        <v>44</v>
      </c>
      <c r="G275">
        <v>62</v>
      </c>
      <c r="H275">
        <v>10</v>
      </c>
      <c r="I275" t="s">
        <v>316</v>
      </c>
      <c r="J275" t="s">
        <v>317</v>
      </c>
      <c r="K275" t="s">
        <v>334</v>
      </c>
      <c r="L275" t="s">
        <v>438</v>
      </c>
      <c r="M275" t="str">
        <f t="shared" si="8"/>
        <v>Phaseolus</v>
      </c>
      <c r="N275" s="7" t="s">
        <v>503</v>
      </c>
      <c r="O275" s="2" t="s">
        <v>512</v>
      </c>
      <c r="P275" t="str">
        <f t="shared" si="9"/>
        <v>High</v>
      </c>
      <c r="Q275">
        <v>0.70399999999999996</v>
      </c>
      <c r="R275" s="25">
        <v>330</v>
      </c>
      <c r="S275">
        <v>0</v>
      </c>
      <c r="T275" s="5" t="s">
        <v>321</v>
      </c>
      <c r="U275" s="1" t="s">
        <v>322</v>
      </c>
      <c r="V275" s="1" t="s">
        <v>47</v>
      </c>
      <c r="W275" s="25" t="s">
        <v>43</v>
      </c>
      <c r="X275" s="25">
        <v>0.5</v>
      </c>
      <c r="Y275" t="s">
        <v>76</v>
      </c>
      <c r="Z275" s="25">
        <v>50</v>
      </c>
      <c r="AA275" s="25">
        <v>5</v>
      </c>
      <c r="AB275" s="25">
        <v>5</v>
      </c>
      <c r="AC275" s="25">
        <v>0</v>
      </c>
      <c r="AD275" s="25">
        <v>0</v>
      </c>
      <c r="AE275" s="29">
        <v>0.2</v>
      </c>
      <c r="AF275" s="25">
        <v>20</v>
      </c>
      <c r="AG275" s="25">
        <v>0</v>
      </c>
      <c r="AH275" s="25">
        <v>0</v>
      </c>
      <c r="AI275" s="25">
        <v>0</v>
      </c>
      <c r="AJ275" s="25">
        <v>0</v>
      </c>
      <c r="AK275" s="29">
        <v>8</v>
      </c>
      <c r="AL275">
        <v>25</v>
      </c>
      <c r="AM275" t="s">
        <v>323</v>
      </c>
      <c r="AN275" t="s">
        <v>67</v>
      </c>
    </row>
    <row r="276" spans="1:40">
      <c r="A276" s="4" t="s">
        <v>268</v>
      </c>
      <c r="B276">
        <v>1993</v>
      </c>
      <c r="C276">
        <v>43</v>
      </c>
      <c r="D276">
        <v>4</v>
      </c>
      <c r="E276">
        <v>6</v>
      </c>
      <c r="F276">
        <v>44</v>
      </c>
      <c r="G276">
        <v>62</v>
      </c>
      <c r="H276">
        <v>10</v>
      </c>
      <c r="I276" t="s">
        <v>316</v>
      </c>
      <c r="J276" t="s">
        <v>317</v>
      </c>
      <c r="K276" t="s">
        <v>334</v>
      </c>
      <c r="L276" t="s">
        <v>438</v>
      </c>
      <c r="M276" t="str">
        <f t="shared" si="8"/>
        <v>Phaseolus</v>
      </c>
      <c r="N276" s="7" t="s">
        <v>503</v>
      </c>
      <c r="O276" t="s">
        <v>508</v>
      </c>
      <c r="P276" t="str">
        <f t="shared" si="9"/>
        <v>High</v>
      </c>
      <c r="Q276">
        <f>1-(4.5/13.9)</f>
        <v>0.67625899280575541</v>
      </c>
      <c r="R276" s="25">
        <v>800</v>
      </c>
      <c r="S276">
        <v>40</v>
      </c>
      <c r="T276" s="5" t="s">
        <v>269</v>
      </c>
      <c r="U276" s="1" t="s">
        <v>115</v>
      </c>
      <c r="V276" s="1" t="s">
        <v>47</v>
      </c>
      <c r="W276" s="25">
        <v>10</v>
      </c>
      <c r="X276" s="25" t="s">
        <v>43</v>
      </c>
      <c r="Y276" t="s">
        <v>48</v>
      </c>
      <c r="Z276" s="25">
        <v>100</v>
      </c>
      <c r="AA276" s="25">
        <v>20</v>
      </c>
      <c r="AB276" s="25">
        <v>1</v>
      </c>
      <c r="AC276" s="25">
        <v>0</v>
      </c>
      <c r="AD276" s="25">
        <v>0</v>
      </c>
      <c r="AE276" s="29">
        <v>0.5</v>
      </c>
      <c r="AF276" s="25">
        <v>10</v>
      </c>
      <c r="AG276" s="25">
        <v>0</v>
      </c>
      <c r="AH276" s="25">
        <v>0</v>
      </c>
      <c r="AI276" s="25">
        <v>0</v>
      </c>
      <c r="AJ276" s="25">
        <v>0</v>
      </c>
      <c r="AK276" s="29">
        <v>8</v>
      </c>
      <c r="AL276">
        <v>25</v>
      </c>
      <c r="AM276" t="s">
        <v>270</v>
      </c>
      <c r="AN276" t="s">
        <v>67</v>
      </c>
    </row>
    <row r="277" spans="1:40">
      <c r="A277" s="4" t="s">
        <v>478</v>
      </c>
      <c r="B277">
        <v>1993</v>
      </c>
      <c r="C277">
        <v>43</v>
      </c>
      <c r="D277">
        <v>4</v>
      </c>
      <c r="E277">
        <v>6</v>
      </c>
      <c r="F277">
        <v>44</v>
      </c>
      <c r="G277">
        <v>62</v>
      </c>
      <c r="H277">
        <v>10</v>
      </c>
      <c r="I277" t="s">
        <v>316</v>
      </c>
      <c r="J277" t="s">
        <v>317</v>
      </c>
      <c r="K277" t="s">
        <v>334</v>
      </c>
      <c r="L277" t="s">
        <v>438</v>
      </c>
      <c r="M277" t="str">
        <f t="shared" si="8"/>
        <v>Phaseolus</v>
      </c>
      <c r="N277" s="7" t="s">
        <v>503</v>
      </c>
      <c r="O277" t="s">
        <v>513</v>
      </c>
      <c r="P277" t="str">
        <f t="shared" si="9"/>
        <v>Very High</v>
      </c>
      <c r="Q277">
        <v>0.85</v>
      </c>
      <c r="R277" s="25">
        <v>1200</v>
      </c>
      <c r="S277">
        <v>0</v>
      </c>
      <c r="T277" s="5" t="s">
        <v>481</v>
      </c>
      <c r="U277" s="1" t="s">
        <v>115</v>
      </c>
      <c r="V277" s="1" t="s">
        <v>47</v>
      </c>
      <c r="W277" s="25">
        <v>10</v>
      </c>
      <c r="X277" s="25" t="s">
        <v>43</v>
      </c>
      <c r="Y277" t="s">
        <v>48</v>
      </c>
      <c r="Z277" s="25">
        <v>100</v>
      </c>
      <c r="AA277" s="25">
        <v>20</v>
      </c>
      <c r="AB277" s="25">
        <v>1</v>
      </c>
      <c r="AC277" s="25">
        <v>0</v>
      </c>
      <c r="AD277" s="25">
        <v>1</v>
      </c>
      <c r="AE277" s="29" t="s">
        <v>43</v>
      </c>
      <c r="AF277" s="25">
        <v>10</v>
      </c>
      <c r="AG277" s="25">
        <v>0</v>
      </c>
      <c r="AH277" s="25">
        <v>2</v>
      </c>
      <c r="AI277" s="25">
        <v>0</v>
      </c>
      <c r="AJ277" s="25">
        <v>0</v>
      </c>
      <c r="AK277" s="29">
        <v>8.1999999999999993</v>
      </c>
      <c r="AL277">
        <v>25</v>
      </c>
      <c r="AM277" t="s">
        <v>482</v>
      </c>
      <c r="AN277" t="s">
        <v>67</v>
      </c>
    </row>
    <row r="278" spans="1:40">
      <c r="A278" s="4" t="s">
        <v>478</v>
      </c>
      <c r="B278">
        <v>1993</v>
      </c>
      <c r="C278">
        <v>43</v>
      </c>
      <c r="D278">
        <v>4</v>
      </c>
      <c r="E278">
        <v>6</v>
      </c>
      <c r="F278">
        <v>44</v>
      </c>
      <c r="G278">
        <v>62</v>
      </c>
      <c r="H278">
        <v>10</v>
      </c>
      <c r="I278" t="s">
        <v>316</v>
      </c>
      <c r="J278" t="s">
        <v>317</v>
      </c>
      <c r="K278" t="s">
        <v>334</v>
      </c>
      <c r="L278" t="s">
        <v>438</v>
      </c>
      <c r="M278" t="str">
        <f t="shared" si="8"/>
        <v>Phaseolus</v>
      </c>
      <c r="N278" s="7" t="s">
        <v>503</v>
      </c>
      <c r="O278" t="s">
        <v>513</v>
      </c>
      <c r="P278" t="str">
        <f t="shared" si="9"/>
        <v>Very High</v>
      </c>
      <c r="Q278">
        <v>0.79100000000000004</v>
      </c>
      <c r="R278" s="25">
        <v>1200</v>
      </c>
      <c r="S278">
        <v>0</v>
      </c>
      <c r="T278" s="5" t="s">
        <v>481</v>
      </c>
      <c r="U278" s="1" t="s">
        <v>115</v>
      </c>
      <c r="V278" s="1" t="s">
        <v>47</v>
      </c>
      <c r="W278" s="25">
        <v>10</v>
      </c>
      <c r="X278" s="25" t="s">
        <v>43</v>
      </c>
      <c r="Y278" t="s">
        <v>48</v>
      </c>
      <c r="Z278" s="25">
        <v>100</v>
      </c>
      <c r="AA278" s="25">
        <v>20</v>
      </c>
      <c r="AB278" s="25">
        <v>1</v>
      </c>
      <c r="AC278" s="25">
        <v>0</v>
      </c>
      <c r="AD278" s="25">
        <v>1</v>
      </c>
      <c r="AE278" s="29" t="s">
        <v>43</v>
      </c>
      <c r="AF278" s="25">
        <v>10</v>
      </c>
      <c r="AG278" s="25">
        <v>0</v>
      </c>
      <c r="AH278" s="25">
        <v>2</v>
      </c>
      <c r="AI278" s="25">
        <v>0</v>
      </c>
      <c r="AJ278" s="25">
        <v>0</v>
      </c>
      <c r="AK278" s="29">
        <v>8.1999999999999993</v>
      </c>
      <c r="AL278">
        <v>25</v>
      </c>
      <c r="AM278" t="s">
        <v>482</v>
      </c>
      <c r="AN278" t="s">
        <v>67</v>
      </c>
    </row>
    <row r="279" spans="1:40">
      <c r="A279" s="4" t="s">
        <v>478</v>
      </c>
      <c r="B279">
        <v>1993</v>
      </c>
      <c r="C279">
        <v>43</v>
      </c>
      <c r="D279">
        <v>4</v>
      </c>
      <c r="E279">
        <v>6</v>
      </c>
      <c r="F279">
        <v>44</v>
      </c>
      <c r="G279">
        <v>62</v>
      </c>
      <c r="H279">
        <v>10</v>
      </c>
      <c r="I279" t="s">
        <v>316</v>
      </c>
      <c r="J279" t="s">
        <v>317</v>
      </c>
      <c r="K279" t="s">
        <v>334</v>
      </c>
      <c r="L279" t="s">
        <v>438</v>
      </c>
      <c r="M279" t="str">
        <f t="shared" si="8"/>
        <v>Phaseolus</v>
      </c>
      <c r="N279" s="7" t="s">
        <v>503</v>
      </c>
      <c r="O279" t="s">
        <v>513</v>
      </c>
      <c r="P279" t="str">
        <f t="shared" si="9"/>
        <v>Very High</v>
      </c>
      <c r="Q279">
        <v>0.9</v>
      </c>
      <c r="R279" s="25">
        <v>1200</v>
      </c>
      <c r="S279">
        <v>0</v>
      </c>
      <c r="T279" s="5" t="s">
        <v>481</v>
      </c>
      <c r="U279" s="1" t="s">
        <v>115</v>
      </c>
      <c r="V279" s="1" t="s">
        <v>47</v>
      </c>
      <c r="W279" s="25">
        <v>10</v>
      </c>
      <c r="X279" s="25" t="s">
        <v>43</v>
      </c>
      <c r="Y279" t="s">
        <v>48</v>
      </c>
      <c r="Z279" s="25">
        <v>100</v>
      </c>
      <c r="AA279" s="25">
        <v>20</v>
      </c>
      <c r="AB279" s="25">
        <v>1</v>
      </c>
      <c r="AC279" s="25">
        <v>0</v>
      </c>
      <c r="AD279" s="25">
        <v>1</v>
      </c>
      <c r="AE279" s="29" t="s">
        <v>43</v>
      </c>
      <c r="AF279" s="25">
        <v>10</v>
      </c>
      <c r="AG279" s="25">
        <v>0</v>
      </c>
      <c r="AH279" s="25">
        <v>2</v>
      </c>
      <c r="AI279" s="25">
        <v>0</v>
      </c>
      <c r="AJ279" s="25">
        <v>0</v>
      </c>
      <c r="AK279" s="29">
        <v>8.1999999999999993</v>
      </c>
      <c r="AL279">
        <v>25</v>
      </c>
      <c r="AM279" t="s">
        <v>482</v>
      </c>
      <c r="AN279" t="s">
        <v>67</v>
      </c>
    </row>
    <row r="280" spans="1:40">
      <c r="A280" s="4" t="s">
        <v>478</v>
      </c>
      <c r="B280">
        <v>1993</v>
      </c>
      <c r="C280">
        <v>43</v>
      </c>
      <c r="D280">
        <v>4</v>
      </c>
      <c r="E280">
        <v>6</v>
      </c>
      <c r="F280">
        <v>44</v>
      </c>
      <c r="G280">
        <v>62</v>
      </c>
      <c r="H280">
        <v>10</v>
      </c>
      <c r="I280" t="s">
        <v>316</v>
      </c>
      <c r="J280" t="s">
        <v>317</v>
      </c>
      <c r="K280" t="s">
        <v>334</v>
      </c>
      <c r="L280" t="s">
        <v>438</v>
      </c>
      <c r="M280" t="str">
        <f t="shared" si="8"/>
        <v>Phaseolus</v>
      </c>
      <c r="N280" s="7" t="s">
        <v>503</v>
      </c>
      <c r="O280" t="s">
        <v>514</v>
      </c>
      <c r="P280" t="str">
        <f t="shared" si="9"/>
        <v>Very High</v>
      </c>
      <c r="Q280">
        <v>0.93500000000000005</v>
      </c>
      <c r="R280" s="25">
        <v>1200</v>
      </c>
      <c r="S280">
        <v>0</v>
      </c>
      <c r="T280" s="5" t="s">
        <v>481</v>
      </c>
      <c r="U280" s="1" t="s">
        <v>115</v>
      </c>
      <c r="V280" s="1" t="s">
        <v>47</v>
      </c>
      <c r="W280" s="25">
        <v>10</v>
      </c>
      <c r="X280" s="25" t="s">
        <v>43</v>
      </c>
      <c r="Y280" t="s">
        <v>48</v>
      </c>
      <c r="Z280" s="25">
        <v>100</v>
      </c>
      <c r="AA280" s="25">
        <v>20</v>
      </c>
      <c r="AB280" s="25">
        <v>1</v>
      </c>
      <c r="AC280" s="25">
        <v>0</v>
      </c>
      <c r="AD280" s="25">
        <v>1</v>
      </c>
      <c r="AE280" s="29" t="s">
        <v>43</v>
      </c>
      <c r="AF280" s="25">
        <v>10</v>
      </c>
      <c r="AG280" s="25">
        <v>0</v>
      </c>
      <c r="AH280" s="25">
        <v>2</v>
      </c>
      <c r="AI280" s="25">
        <v>0</v>
      </c>
      <c r="AJ280" s="25">
        <v>0</v>
      </c>
      <c r="AK280" s="29">
        <v>8.1999999999999993</v>
      </c>
      <c r="AL280">
        <v>25</v>
      </c>
      <c r="AM280" t="s">
        <v>482</v>
      </c>
      <c r="AN280" t="s">
        <v>67</v>
      </c>
    </row>
    <row r="281" spans="1:40">
      <c r="A281" s="4" t="s">
        <v>478</v>
      </c>
      <c r="B281">
        <v>1993</v>
      </c>
      <c r="C281">
        <v>43</v>
      </c>
      <c r="D281">
        <v>4</v>
      </c>
      <c r="E281">
        <v>6</v>
      </c>
      <c r="F281">
        <v>44</v>
      </c>
      <c r="G281">
        <v>62</v>
      </c>
      <c r="H281">
        <v>10</v>
      </c>
      <c r="I281" t="s">
        <v>316</v>
      </c>
      <c r="J281" t="s">
        <v>317</v>
      </c>
      <c r="K281" t="s">
        <v>334</v>
      </c>
      <c r="L281" t="s">
        <v>438</v>
      </c>
      <c r="M281" t="str">
        <f t="shared" si="8"/>
        <v>Phaseolus</v>
      </c>
      <c r="N281" s="7" t="s">
        <v>503</v>
      </c>
      <c r="O281" t="s">
        <v>515</v>
      </c>
      <c r="P281" t="str">
        <f t="shared" si="9"/>
        <v>Very High</v>
      </c>
      <c r="Q281">
        <v>0.93799999999999994</v>
      </c>
      <c r="R281" s="25">
        <v>1200</v>
      </c>
      <c r="S281">
        <v>0</v>
      </c>
      <c r="T281" s="5" t="s">
        <v>481</v>
      </c>
      <c r="U281" s="1" t="s">
        <v>115</v>
      </c>
      <c r="V281" s="1" t="s">
        <v>47</v>
      </c>
      <c r="W281" s="25">
        <v>10</v>
      </c>
      <c r="X281" s="25" t="s">
        <v>43</v>
      </c>
      <c r="Y281" t="s">
        <v>48</v>
      </c>
      <c r="Z281" s="25">
        <v>100</v>
      </c>
      <c r="AA281" s="25">
        <v>20</v>
      </c>
      <c r="AB281" s="25">
        <v>1</v>
      </c>
      <c r="AC281" s="25">
        <v>0</v>
      </c>
      <c r="AD281" s="25">
        <v>1</v>
      </c>
      <c r="AE281" s="29" t="s">
        <v>43</v>
      </c>
      <c r="AF281" s="25">
        <v>10</v>
      </c>
      <c r="AG281" s="25">
        <v>0</v>
      </c>
      <c r="AH281" s="25">
        <v>2</v>
      </c>
      <c r="AI281" s="25">
        <v>0</v>
      </c>
      <c r="AJ281" s="25">
        <v>0</v>
      </c>
      <c r="AK281" s="29">
        <v>8.1999999999999993</v>
      </c>
      <c r="AL281">
        <v>25</v>
      </c>
      <c r="AM281" t="s">
        <v>482</v>
      </c>
      <c r="AN281" t="s">
        <v>67</v>
      </c>
    </row>
    <row r="282" spans="1:40">
      <c r="A282" s="4" t="s">
        <v>478</v>
      </c>
      <c r="B282">
        <v>1993</v>
      </c>
      <c r="C282">
        <v>43</v>
      </c>
      <c r="D282">
        <v>4</v>
      </c>
      <c r="E282">
        <v>6</v>
      </c>
      <c r="F282">
        <v>44</v>
      </c>
      <c r="G282">
        <v>62</v>
      </c>
      <c r="H282">
        <v>10</v>
      </c>
      <c r="I282" t="s">
        <v>316</v>
      </c>
      <c r="J282" t="s">
        <v>317</v>
      </c>
      <c r="K282" t="s">
        <v>334</v>
      </c>
      <c r="L282" t="s">
        <v>438</v>
      </c>
      <c r="M282" t="str">
        <f t="shared" si="8"/>
        <v>Phaseolus</v>
      </c>
      <c r="N282" s="7" t="s">
        <v>503</v>
      </c>
      <c r="O282" t="s">
        <v>516</v>
      </c>
      <c r="P282" t="str">
        <f t="shared" si="9"/>
        <v>High</v>
      </c>
      <c r="Q282">
        <v>0.68900000000000006</v>
      </c>
      <c r="R282" s="25">
        <v>1200</v>
      </c>
      <c r="S282">
        <v>0</v>
      </c>
      <c r="T282" s="5" t="s">
        <v>481</v>
      </c>
      <c r="U282" s="1" t="s">
        <v>115</v>
      </c>
      <c r="V282" s="1" t="s">
        <v>47</v>
      </c>
      <c r="W282" s="25">
        <v>10</v>
      </c>
      <c r="X282" s="25" t="s">
        <v>43</v>
      </c>
      <c r="Y282" t="s">
        <v>48</v>
      </c>
      <c r="Z282" s="25">
        <v>100</v>
      </c>
      <c r="AA282" s="25">
        <v>20</v>
      </c>
      <c r="AB282" s="25">
        <v>1</v>
      </c>
      <c r="AC282" s="25">
        <v>0</v>
      </c>
      <c r="AD282" s="25">
        <v>1</v>
      </c>
      <c r="AE282" s="29" t="s">
        <v>43</v>
      </c>
      <c r="AF282" s="25">
        <v>10</v>
      </c>
      <c r="AG282" s="25">
        <v>0</v>
      </c>
      <c r="AH282" s="25">
        <v>2</v>
      </c>
      <c r="AI282" s="25">
        <v>0</v>
      </c>
      <c r="AJ282" s="25">
        <v>0</v>
      </c>
      <c r="AK282" s="29">
        <v>8.1999999999999993</v>
      </c>
      <c r="AL282">
        <v>25</v>
      </c>
      <c r="AM282" t="s">
        <v>482</v>
      </c>
      <c r="AN282" t="s">
        <v>67</v>
      </c>
    </row>
    <row r="283" spans="1:40">
      <c r="A283" s="4" t="s">
        <v>478</v>
      </c>
      <c r="B283">
        <v>1993</v>
      </c>
      <c r="C283">
        <v>43</v>
      </c>
      <c r="D283">
        <v>4</v>
      </c>
      <c r="E283">
        <v>6</v>
      </c>
      <c r="F283">
        <v>44</v>
      </c>
      <c r="G283">
        <v>62</v>
      </c>
      <c r="H283">
        <v>10</v>
      </c>
      <c r="I283" t="s">
        <v>316</v>
      </c>
      <c r="J283" t="s">
        <v>317</v>
      </c>
      <c r="K283" t="s">
        <v>334</v>
      </c>
      <c r="L283" t="s">
        <v>438</v>
      </c>
      <c r="M283" t="str">
        <f t="shared" si="8"/>
        <v>Phaseolus</v>
      </c>
      <c r="N283" s="7" t="s">
        <v>503</v>
      </c>
      <c r="O283" t="s">
        <v>517</v>
      </c>
      <c r="P283" t="str">
        <f t="shared" si="9"/>
        <v>Very High</v>
      </c>
      <c r="Q283">
        <v>0.82499999999999996</v>
      </c>
      <c r="R283" s="25">
        <v>1200</v>
      </c>
      <c r="S283">
        <v>0</v>
      </c>
      <c r="T283" s="5" t="s">
        <v>481</v>
      </c>
      <c r="U283" s="1" t="s">
        <v>115</v>
      </c>
      <c r="V283" s="1" t="s">
        <v>47</v>
      </c>
      <c r="W283" s="25">
        <v>10</v>
      </c>
      <c r="X283" s="25" t="s">
        <v>43</v>
      </c>
      <c r="Y283" t="s">
        <v>48</v>
      </c>
      <c r="Z283" s="25">
        <v>100</v>
      </c>
      <c r="AA283" s="25">
        <v>20</v>
      </c>
      <c r="AB283" s="25">
        <v>1</v>
      </c>
      <c r="AC283" s="25">
        <v>0</v>
      </c>
      <c r="AD283" s="25">
        <v>1</v>
      </c>
      <c r="AE283" s="29" t="s">
        <v>43</v>
      </c>
      <c r="AF283" s="25">
        <v>10</v>
      </c>
      <c r="AG283" s="25">
        <v>0</v>
      </c>
      <c r="AH283" s="25">
        <v>2</v>
      </c>
      <c r="AI283" s="25">
        <v>0</v>
      </c>
      <c r="AJ283" s="25">
        <v>0</v>
      </c>
      <c r="AK283" s="29">
        <v>8.1999999999999993</v>
      </c>
      <c r="AL283">
        <v>25</v>
      </c>
      <c r="AM283" t="s">
        <v>482</v>
      </c>
      <c r="AN283" t="s">
        <v>67</v>
      </c>
    </row>
    <row r="284" spans="1:40">
      <c r="A284" s="4" t="s">
        <v>478</v>
      </c>
      <c r="B284">
        <v>1993</v>
      </c>
      <c r="C284">
        <v>43</v>
      </c>
      <c r="D284">
        <v>4</v>
      </c>
      <c r="E284">
        <v>6</v>
      </c>
      <c r="F284">
        <v>44</v>
      </c>
      <c r="G284">
        <v>62</v>
      </c>
      <c r="H284">
        <v>10</v>
      </c>
      <c r="I284" t="s">
        <v>316</v>
      </c>
      <c r="J284" t="s">
        <v>317</v>
      </c>
      <c r="K284" t="s">
        <v>334</v>
      </c>
      <c r="L284" t="s">
        <v>438</v>
      </c>
      <c r="M284" t="str">
        <f t="shared" si="8"/>
        <v>Phaseolus</v>
      </c>
      <c r="N284" s="7" t="s">
        <v>503</v>
      </c>
      <c r="O284" t="s">
        <v>518</v>
      </c>
      <c r="P284" t="str">
        <f t="shared" si="9"/>
        <v>Very High</v>
      </c>
      <c r="Q284">
        <v>0.86</v>
      </c>
      <c r="R284" s="25">
        <v>1200</v>
      </c>
      <c r="S284">
        <v>0</v>
      </c>
      <c r="T284" s="5" t="s">
        <v>481</v>
      </c>
      <c r="U284" s="1" t="s">
        <v>115</v>
      </c>
      <c r="V284" s="1" t="s">
        <v>47</v>
      </c>
      <c r="W284" s="25">
        <v>10</v>
      </c>
      <c r="X284" s="25" t="s">
        <v>43</v>
      </c>
      <c r="Y284" t="s">
        <v>48</v>
      </c>
      <c r="Z284" s="25">
        <v>100</v>
      </c>
      <c r="AA284" s="25">
        <v>20</v>
      </c>
      <c r="AB284" s="25">
        <v>1</v>
      </c>
      <c r="AC284" s="25">
        <v>0</v>
      </c>
      <c r="AD284" s="25">
        <v>1</v>
      </c>
      <c r="AE284" s="29" t="s">
        <v>43</v>
      </c>
      <c r="AF284" s="25">
        <v>10</v>
      </c>
      <c r="AG284" s="25">
        <v>0</v>
      </c>
      <c r="AH284" s="25">
        <v>2</v>
      </c>
      <c r="AI284" s="25">
        <v>0</v>
      </c>
      <c r="AJ284" s="25">
        <v>0</v>
      </c>
      <c r="AK284" s="29">
        <v>8.1999999999999993</v>
      </c>
      <c r="AL284">
        <v>25</v>
      </c>
      <c r="AM284" t="s">
        <v>482</v>
      </c>
      <c r="AN284" t="s">
        <v>67</v>
      </c>
    </row>
    <row r="285" spans="1:40">
      <c r="A285" s="4" t="s">
        <v>478</v>
      </c>
      <c r="B285">
        <v>1993</v>
      </c>
      <c r="C285">
        <v>43</v>
      </c>
      <c r="D285">
        <v>4</v>
      </c>
      <c r="E285">
        <v>6</v>
      </c>
      <c r="F285">
        <v>44</v>
      </c>
      <c r="G285">
        <v>62</v>
      </c>
      <c r="H285">
        <v>10</v>
      </c>
      <c r="I285" t="s">
        <v>316</v>
      </c>
      <c r="J285" t="s">
        <v>317</v>
      </c>
      <c r="K285" t="s">
        <v>334</v>
      </c>
      <c r="L285" t="s">
        <v>438</v>
      </c>
      <c r="M285" t="str">
        <f t="shared" si="8"/>
        <v>Phaseolus</v>
      </c>
      <c r="N285" s="7" t="s">
        <v>503</v>
      </c>
      <c r="O285" t="s">
        <v>518</v>
      </c>
      <c r="P285" t="str">
        <f t="shared" si="9"/>
        <v>Very High</v>
      </c>
      <c r="Q285">
        <v>0.95299999999999996</v>
      </c>
      <c r="R285" s="25">
        <v>1200</v>
      </c>
      <c r="S285">
        <v>0</v>
      </c>
      <c r="T285" s="5" t="s">
        <v>481</v>
      </c>
      <c r="U285" s="1" t="s">
        <v>115</v>
      </c>
      <c r="V285" s="1" t="s">
        <v>47</v>
      </c>
      <c r="W285" s="25">
        <v>10</v>
      </c>
      <c r="X285" s="25" t="s">
        <v>43</v>
      </c>
      <c r="Y285" t="s">
        <v>48</v>
      </c>
      <c r="Z285" s="25">
        <v>100</v>
      </c>
      <c r="AA285" s="25">
        <v>20</v>
      </c>
      <c r="AB285" s="25">
        <v>1</v>
      </c>
      <c r="AC285" s="25">
        <v>0</v>
      </c>
      <c r="AD285" s="25">
        <v>1</v>
      </c>
      <c r="AE285" s="29" t="s">
        <v>43</v>
      </c>
      <c r="AF285" s="25">
        <v>10</v>
      </c>
      <c r="AG285" s="25">
        <v>0</v>
      </c>
      <c r="AH285" s="25">
        <v>2</v>
      </c>
      <c r="AI285" s="25">
        <v>0</v>
      </c>
      <c r="AJ285" s="25">
        <v>0</v>
      </c>
      <c r="AK285" s="29">
        <v>8.1999999999999993</v>
      </c>
      <c r="AL285">
        <v>25</v>
      </c>
      <c r="AM285" t="s">
        <v>482</v>
      </c>
      <c r="AN285" t="s">
        <v>67</v>
      </c>
    </row>
    <row r="286" spans="1:40">
      <c r="A286" s="4" t="s">
        <v>478</v>
      </c>
      <c r="B286">
        <v>1993</v>
      </c>
      <c r="C286">
        <v>43</v>
      </c>
      <c r="D286">
        <v>4</v>
      </c>
      <c r="E286">
        <v>6</v>
      </c>
      <c r="F286">
        <v>44</v>
      </c>
      <c r="G286">
        <v>62</v>
      </c>
      <c r="H286">
        <v>10</v>
      </c>
      <c r="I286" t="s">
        <v>316</v>
      </c>
      <c r="J286" t="s">
        <v>317</v>
      </c>
      <c r="K286" t="s">
        <v>334</v>
      </c>
      <c r="L286" t="s">
        <v>438</v>
      </c>
      <c r="M286" t="str">
        <f t="shared" si="8"/>
        <v>Phaseolus</v>
      </c>
      <c r="N286" s="7" t="s">
        <v>503</v>
      </c>
      <c r="O286" t="s">
        <v>519</v>
      </c>
      <c r="P286" t="str">
        <f t="shared" si="9"/>
        <v>Very High</v>
      </c>
      <c r="Q286">
        <v>0.94899999999999995</v>
      </c>
      <c r="R286" s="25">
        <v>1200</v>
      </c>
      <c r="S286">
        <v>0</v>
      </c>
      <c r="T286" s="5" t="s">
        <v>481</v>
      </c>
      <c r="U286" s="1" t="s">
        <v>115</v>
      </c>
      <c r="V286" s="1" t="s">
        <v>47</v>
      </c>
      <c r="W286" s="25">
        <v>10</v>
      </c>
      <c r="X286" s="25" t="s">
        <v>43</v>
      </c>
      <c r="Y286" t="s">
        <v>48</v>
      </c>
      <c r="Z286" s="25">
        <v>100</v>
      </c>
      <c r="AA286" s="25">
        <v>20</v>
      </c>
      <c r="AB286" s="25">
        <v>1</v>
      </c>
      <c r="AC286" s="25">
        <v>0</v>
      </c>
      <c r="AD286" s="25">
        <v>1</v>
      </c>
      <c r="AE286" s="29" t="s">
        <v>43</v>
      </c>
      <c r="AF286" s="25">
        <v>10</v>
      </c>
      <c r="AG286" s="25">
        <v>0</v>
      </c>
      <c r="AH286" s="25">
        <v>2</v>
      </c>
      <c r="AI286" s="25">
        <v>0</v>
      </c>
      <c r="AJ286" s="25">
        <v>0</v>
      </c>
      <c r="AK286" s="29">
        <v>8.1999999999999993</v>
      </c>
      <c r="AL286">
        <v>25</v>
      </c>
      <c r="AM286" t="s">
        <v>482</v>
      </c>
      <c r="AN286" t="s">
        <v>67</v>
      </c>
    </row>
    <row r="287" spans="1:40">
      <c r="A287" s="4" t="s">
        <v>478</v>
      </c>
      <c r="B287">
        <v>1993</v>
      </c>
      <c r="C287">
        <v>43</v>
      </c>
      <c r="D287">
        <v>4</v>
      </c>
      <c r="E287">
        <v>6</v>
      </c>
      <c r="F287">
        <v>44</v>
      </c>
      <c r="G287">
        <v>62</v>
      </c>
      <c r="H287">
        <v>10</v>
      </c>
      <c r="I287" t="s">
        <v>316</v>
      </c>
      <c r="J287" t="s">
        <v>317</v>
      </c>
      <c r="K287" t="s">
        <v>334</v>
      </c>
      <c r="L287" t="s">
        <v>438</v>
      </c>
      <c r="M287" t="str">
        <f t="shared" si="8"/>
        <v>Phaseolus</v>
      </c>
      <c r="N287" s="7" t="s">
        <v>503</v>
      </c>
      <c r="O287" t="s">
        <v>508</v>
      </c>
      <c r="P287" t="str">
        <f t="shared" si="9"/>
        <v>Very High</v>
      </c>
      <c r="Q287">
        <v>0.87</v>
      </c>
      <c r="R287" s="25">
        <v>1200</v>
      </c>
      <c r="S287">
        <v>0</v>
      </c>
      <c r="T287" s="5" t="s">
        <v>481</v>
      </c>
      <c r="U287" s="1" t="s">
        <v>115</v>
      </c>
      <c r="V287" s="1" t="s">
        <v>47</v>
      </c>
      <c r="W287" s="25">
        <v>10</v>
      </c>
      <c r="X287" s="25" t="s">
        <v>43</v>
      </c>
      <c r="Y287" t="s">
        <v>48</v>
      </c>
      <c r="Z287" s="25">
        <v>100</v>
      </c>
      <c r="AA287" s="25">
        <v>20</v>
      </c>
      <c r="AB287" s="25">
        <v>1</v>
      </c>
      <c r="AC287" s="25">
        <v>0</v>
      </c>
      <c r="AD287" s="25">
        <v>1</v>
      </c>
      <c r="AE287" s="29" t="s">
        <v>43</v>
      </c>
      <c r="AF287" s="25">
        <v>10</v>
      </c>
      <c r="AG287" s="25">
        <v>0</v>
      </c>
      <c r="AH287" s="25">
        <v>2</v>
      </c>
      <c r="AI287" s="25">
        <v>0</v>
      </c>
      <c r="AJ287" s="25">
        <v>0</v>
      </c>
      <c r="AK287" s="29">
        <v>8.1999999999999993</v>
      </c>
      <c r="AL287">
        <v>25</v>
      </c>
      <c r="AM287" t="s">
        <v>482</v>
      </c>
      <c r="AN287" t="s">
        <v>67</v>
      </c>
    </row>
    <row r="288" spans="1:40">
      <c r="A288" s="4" t="s">
        <v>478</v>
      </c>
      <c r="B288">
        <v>1993</v>
      </c>
      <c r="C288">
        <v>43</v>
      </c>
      <c r="D288">
        <v>4</v>
      </c>
      <c r="E288">
        <v>6</v>
      </c>
      <c r="F288">
        <v>44</v>
      </c>
      <c r="G288">
        <v>62</v>
      </c>
      <c r="H288">
        <v>10</v>
      </c>
      <c r="I288" t="s">
        <v>316</v>
      </c>
      <c r="J288" t="s">
        <v>317</v>
      </c>
      <c r="K288" t="s">
        <v>334</v>
      </c>
      <c r="L288" t="s">
        <v>438</v>
      </c>
      <c r="M288" t="str">
        <f t="shared" si="8"/>
        <v>Phaseolus</v>
      </c>
      <c r="N288" s="7" t="s">
        <v>503</v>
      </c>
      <c r="O288" t="s">
        <v>520</v>
      </c>
      <c r="P288" t="str">
        <f t="shared" si="9"/>
        <v>Very High</v>
      </c>
      <c r="Q288">
        <v>0.81</v>
      </c>
      <c r="R288" s="25">
        <v>1200</v>
      </c>
      <c r="S288">
        <v>0</v>
      </c>
      <c r="T288" s="5" t="s">
        <v>481</v>
      </c>
      <c r="U288" s="1" t="s">
        <v>115</v>
      </c>
      <c r="V288" s="1" t="s">
        <v>47</v>
      </c>
      <c r="W288" s="25">
        <v>10</v>
      </c>
      <c r="X288" s="25" t="s">
        <v>43</v>
      </c>
      <c r="Y288" t="s">
        <v>48</v>
      </c>
      <c r="Z288" s="25">
        <v>100</v>
      </c>
      <c r="AA288" s="25">
        <v>20</v>
      </c>
      <c r="AB288" s="25">
        <v>1</v>
      </c>
      <c r="AC288" s="25">
        <v>0</v>
      </c>
      <c r="AD288" s="25">
        <v>1</v>
      </c>
      <c r="AE288" s="29" t="s">
        <v>43</v>
      </c>
      <c r="AF288" s="25">
        <v>10</v>
      </c>
      <c r="AG288" s="25">
        <v>0</v>
      </c>
      <c r="AH288" s="25">
        <v>2</v>
      </c>
      <c r="AI288" s="25">
        <v>0</v>
      </c>
      <c r="AJ288" s="25">
        <v>0</v>
      </c>
      <c r="AK288" s="29">
        <v>8.1999999999999993</v>
      </c>
      <c r="AL288">
        <v>25</v>
      </c>
      <c r="AM288" t="s">
        <v>482</v>
      </c>
      <c r="AN288" t="s">
        <v>67</v>
      </c>
    </row>
    <row r="289" spans="1:40">
      <c r="A289" s="4" t="s">
        <v>478</v>
      </c>
      <c r="B289">
        <v>1993</v>
      </c>
      <c r="C289">
        <v>43</v>
      </c>
      <c r="D289">
        <v>4</v>
      </c>
      <c r="E289">
        <v>6</v>
      </c>
      <c r="F289">
        <v>44</v>
      </c>
      <c r="G289">
        <v>62</v>
      </c>
      <c r="H289">
        <v>10</v>
      </c>
      <c r="I289" t="s">
        <v>316</v>
      </c>
      <c r="J289" t="s">
        <v>317</v>
      </c>
      <c r="K289" t="s">
        <v>334</v>
      </c>
      <c r="L289" t="s">
        <v>438</v>
      </c>
      <c r="M289" t="str">
        <f t="shared" si="8"/>
        <v>Phaseolus</v>
      </c>
      <c r="N289" s="7" t="s">
        <v>503</v>
      </c>
      <c r="O289" t="s">
        <v>520</v>
      </c>
      <c r="P289" t="str">
        <f t="shared" si="9"/>
        <v>Very High</v>
      </c>
      <c r="Q289">
        <v>0.97399999999999998</v>
      </c>
      <c r="R289" s="25">
        <v>1200</v>
      </c>
      <c r="S289">
        <v>0</v>
      </c>
      <c r="T289" s="5" t="s">
        <v>481</v>
      </c>
      <c r="U289" s="1" t="s">
        <v>115</v>
      </c>
      <c r="V289" s="1" t="s">
        <v>47</v>
      </c>
      <c r="W289" s="25">
        <v>10</v>
      </c>
      <c r="X289" s="25" t="s">
        <v>43</v>
      </c>
      <c r="Y289" t="s">
        <v>48</v>
      </c>
      <c r="Z289" s="25">
        <v>100</v>
      </c>
      <c r="AA289" s="25">
        <v>20</v>
      </c>
      <c r="AB289" s="25">
        <v>1</v>
      </c>
      <c r="AC289" s="25">
        <v>0</v>
      </c>
      <c r="AD289" s="25">
        <v>1</v>
      </c>
      <c r="AE289" s="29" t="s">
        <v>43</v>
      </c>
      <c r="AF289" s="25">
        <v>10</v>
      </c>
      <c r="AG289" s="25">
        <v>0</v>
      </c>
      <c r="AH289" s="25">
        <v>2</v>
      </c>
      <c r="AI289" s="25">
        <v>0</v>
      </c>
      <c r="AJ289" s="25">
        <v>0</v>
      </c>
      <c r="AK289" s="29">
        <v>8.1999999999999993</v>
      </c>
      <c r="AL289">
        <v>25</v>
      </c>
      <c r="AM289" t="s">
        <v>482</v>
      </c>
      <c r="AN289" t="s">
        <v>67</v>
      </c>
    </row>
    <row r="290" spans="1:40">
      <c r="A290" s="4" t="s">
        <v>478</v>
      </c>
      <c r="B290">
        <v>1993</v>
      </c>
      <c r="C290">
        <v>43</v>
      </c>
      <c r="D290">
        <v>4</v>
      </c>
      <c r="E290">
        <v>6</v>
      </c>
      <c r="F290">
        <v>44</v>
      </c>
      <c r="G290">
        <v>62</v>
      </c>
      <c r="H290">
        <v>10</v>
      </c>
      <c r="I290" t="s">
        <v>316</v>
      </c>
      <c r="J290" t="s">
        <v>317</v>
      </c>
      <c r="K290" t="s">
        <v>334</v>
      </c>
      <c r="L290" t="s">
        <v>438</v>
      </c>
      <c r="M290" t="str">
        <f t="shared" si="8"/>
        <v>Phaseolus</v>
      </c>
      <c r="N290" s="7" t="s">
        <v>503</v>
      </c>
      <c r="O290" t="s">
        <v>521</v>
      </c>
      <c r="P290" t="str">
        <f t="shared" si="9"/>
        <v>Very High</v>
      </c>
      <c r="Q290">
        <v>0.95899999999999996</v>
      </c>
      <c r="R290" s="25">
        <v>1200</v>
      </c>
      <c r="S290">
        <v>0</v>
      </c>
      <c r="T290" s="5" t="s">
        <v>481</v>
      </c>
      <c r="U290" s="1" t="s">
        <v>115</v>
      </c>
      <c r="V290" s="1" t="s">
        <v>47</v>
      </c>
      <c r="W290" s="25">
        <v>10</v>
      </c>
      <c r="X290" s="25" t="s">
        <v>43</v>
      </c>
      <c r="Y290" t="s">
        <v>48</v>
      </c>
      <c r="Z290" s="25">
        <v>100</v>
      </c>
      <c r="AA290" s="25">
        <v>20</v>
      </c>
      <c r="AB290" s="25">
        <v>1</v>
      </c>
      <c r="AC290" s="25">
        <v>0</v>
      </c>
      <c r="AD290" s="25">
        <v>1</v>
      </c>
      <c r="AE290" s="29" t="s">
        <v>43</v>
      </c>
      <c r="AF290" s="25">
        <v>10</v>
      </c>
      <c r="AG290" s="25">
        <v>0</v>
      </c>
      <c r="AH290" s="25">
        <v>2</v>
      </c>
      <c r="AI290" s="25">
        <v>0</v>
      </c>
      <c r="AJ290" s="25">
        <v>0</v>
      </c>
      <c r="AK290" s="29">
        <v>8.1999999999999993</v>
      </c>
      <c r="AL290">
        <v>25</v>
      </c>
      <c r="AM290" t="s">
        <v>482</v>
      </c>
      <c r="AN290" t="s">
        <v>67</v>
      </c>
    </row>
    <row r="291" spans="1:40">
      <c r="A291" s="4" t="s">
        <v>478</v>
      </c>
      <c r="B291">
        <v>1993</v>
      </c>
      <c r="C291">
        <v>43</v>
      </c>
      <c r="D291">
        <v>4</v>
      </c>
      <c r="E291">
        <v>6</v>
      </c>
      <c r="F291">
        <v>44</v>
      </c>
      <c r="G291">
        <v>62</v>
      </c>
      <c r="H291">
        <v>10</v>
      </c>
      <c r="I291" t="s">
        <v>316</v>
      </c>
      <c r="J291" t="s">
        <v>317</v>
      </c>
      <c r="K291" t="s">
        <v>334</v>
      </c>
      <c r="L291" t="s">
        <v>438</v>
      </c>
      <c r="M291" t="str">
        <f t="shared" si="8"/>
        <v>Phaseolus</v>
      </c>
      <c r="N291" s="7" t="s">
        <v>503</v>
      </c>
      <c r="O291" t="s">
        <v>522</v>
      </c>
      <c r="P291" t="str">
        <f t="shared" si="9"/>
        <v>Very High</v>
      </c>
      <c r="Q291">
        <v>0.95</v>
      </c>
      <c r="R291" s="25">
        <v>1200</v>
      </c>
      <c r="S291">
        <v>0</v>
      </c>
      <c r="T291" s="5" t="s">
        <v>481</v>
      </c>
      <c r="U291" s="1" t="s">
        <v>115</v>
      </c>
      <c r="V291" s="1" t="s">
        <v>47</v>
      </c>
      <c r="W291" s="25">
        <v>10</v>
      </c>
      <c r="X291" s="25" t="s">
        <v>43</v>
      </c>
      <c r="Y291" t="s">
        <v>48</v>
      </c>
      <c r="Z291" s="25">
        <v>100</v>
      </c>
      <c r="AA291" s="25">
        <v>20</v>
      </c>
      <c r="AB291" s="25">
        <v>1</v>
      </c>
      <c r="AC291" s="25">
        <v>0</v>
      </c>
      <c r="AD291" s="25">
        <v>1</v>
      </c>
      <c r="AE291" s="29" t="s">
        <v>43</v>
      </c>
      <c r="AF291" s="25">
        <v>10</v>
      </c>
      <c r="AG291" s="25">
        <v>0</v>
      </c>
      <c r="AH291" s="25">
        <v>2</v>
      </c>
      <c r="AI291" s="25">
        <v>0</v>
      </c>
      <c r="AJ291" s="25">
        <v>0</v>
      </c>
      <c r="AK291" s="29">
        <v>8.1999999999999993</v>
      </c>
      <c r="AL291">
        <v>25</v>
      </c>
      <c r="AM291" t="s">
        <v>482</v>
      </c>
      <c r="AN291" t="s">
        <v>67</v>
      </c>
    </row>
    <row r="292" spans="1:40">
      <c r="A292" s="4" t="s">
        <v>478</v>
      </c>
      <c r="B292">
        <v>1993</v>
      </c>
      <c r="C292">
        <v>43</v>
      </c>
      <c r="D292">
        <v>4</v>
      </c>
      <c r="E292">
        <v>6</v>
      </c>
      <c r="F292">
        <v>44</v>
      </c>
      <c r="G292">
        <v>62</v>
      </c>
      <c r="H292">
        <v>10</v>
      </c>
      <c r="I292" t="s">
        <v>316</v>
      </c>
      <c r="J292" t="s">
        <v>317</v>
      </c>
      <c r="K292" t="s">
        <v>334</v>
      </c>
      <c r="L292" t="s">
        <v>438</v>
      </c>
      <c r="M292" t="str">
        <f t="shared" si="8"/>
        <v>Phaseolus</v>
      </c>
      <c r="N292" s="7" t="s">
        <v>503</v>
      </c>
      <c r="O292" t="s">
        <v>523</v>
      </c>
      <c r="P292" t="str">
        <f t="shared" si="9"/>
        <v>Very High</v>
      </c>
      <c r="Q292">
        <v>0.87</v>
      </c>
      <c r="R292" s="25">
        <v>1200</v>
      </c>
      <c r="S292">
        <v>0</v>
      </c>
      <c r="T292" s="5" t="s">
        <v>481</v>
      </c>
      <c r="U292" s="1" t="s">
        <v>115</v>
      </c>
      <c r="V292" s="1" t="s">
        <v>47</v>
      </c>
      <c r="W292" s="25">
        <v>10</v>
      </c>
      <c r="X292" s="25" t="s">
        <v>43</v>
      </c>
      <c r="Y292" t="s">
        <v>48</v>
      </c>
      <c r="Z292" s="25">
        <v>100</v>
      </c>
      <c r="AA292" s="25">
        <v>20</v>
      </c>
      <c r="AB292" s="25">
        <v>1</v>
      </c>
      <c r="AC292" s="25">
        <v>0</v>
      </c>
      <c r="AD292" s="25">
        <v>1</v>
      </c>
      <c r="AE292" s="29" t="s">
        <v>43</v>
      </c>
      <c r="AF292" s="25">
        <v>10</v>
      </c>
      <c r="AG292" s="25">
        <v>0</v>
      </c>
      <c r="AH292" s="25">
        <v>2</v>
      </c>
      <c r="AI292" s="25">
        <v>0</v>
      </c>
      <c r="AJ292" s="25">
        <v>0</v>
      </c>
      <c r="AK292" s="29">
        <v>8.1999999999999993</v>
      </c>
      <c r="AL292">
        <v>25</v>
      </c>
      <c r="AM292" t="s">
        <v>482</v>
      </c>
      <c r="AN292" t="s">
        <v>67</v>
      </c>
    </row>
    <row r="293" spans="1:40">
      <c r="A293" s="4" t="s">
        <v>478</v>
      </c>
      <c r="B293">
        <v>1993</v>
      </c>
      <c r="C293">
        <v>43</v>
      </c>
      <c r="D293">
        <v>4</v>
      </c>
      <c r="E293">
        <v>6</v>
      </c>
      <c r="F293">
        <v>44</v>
      </c>
      <c r="G293">
        <v>62</v>
      </c>
      <c r="H293">
        <v>10</v>
      </c>
      <c r="I293" t="s">
        <v>316</v>
      </c>
      <c r="J293" t="s">
        <v>317</v>
      </c>
      <c r="K293" t="s">
        <v>334</v>
      </c>
      <c r="L293" t="s">
        <v>438</v>
      </c>
      <c r="M293" t="str">
        <f t="shared" si="8"/>
        <v>Phaseolus</v>
      </c>
      <c r="N293" s="7" t="s">
        <v>503</v>
      </c>
      <c r="O293" t="s">
        <v>524</v>
      </c>
      <c r="P293" t="str">
        <f t="shared" si="9"/>
        <v>Very High</v>
      </c>
      <c r="Q293">
        <v>0.88800000000000001</v>
      </c>
      <c r="R293" s="25">
        <v>1200</v>
      </c>
      <c r="S293">
        <v>0</v>
      </c>
      <c r="T293" s="5" t="s">
        <v>481</v>
      </c>
      <c r="U293" s="1" t="s">
        <v>115</v>
      </c>
      <c r="V293" s="1" t="s">
        <v>47</v>
      </c>
      <c r="W293" s="25">
        <v>10</v>
      </c>
      <c r="X293" s="25" t="s">
        <v>43</v>
      </c>
      <c r="Y293" t="s">
        <v>48</v>
      </c>
      <c r="Z293" s="25">
        <v>100</v>
      </c>
      <c r="AA293" s="25">
        <v>20</v>
      </c>
      <c r="AB293" s="25">
        <v>1</v>
      </c>
      <c r="AC293" s="25">
        <v>0</v>
      </c>
      <c r="AD293" s="25">
        <v>1</v>
      </c>
      <c r="AE293" s="29" t="s">
        <v>43</v>
      </c>
      <c r="AF293" s="25">
        <v>10</v>
      </c>
      <c r="AG293" s="25">
        <v>0</v>
      </c>
      <c r="AH293" s="25">
        <v>2</v>
      </c>
      <c r="AI293" s="25">
        <v>0</v>
      </c>
      <c r="AJ293" s="25">
        <v>0</v>
      </c>
      <c r="AK293" s="29">
        <v>8.1999999999999993</v>
      </c>
      <c r="AL293">
        <v>25</v>
      </c>
      <c r="AM293" t="s">
        <v>482</v>
      </c>
      <c r="AN293" t="s">
        <v>67</v>
      </c>
    </row>
    <row r="294" spans="1:40">
      <c r="A294" s="4" t="s">
        <v>478</v>
      </c>
      <c r="B294">
        <v>1993</v>
      </c>
      <c r="C294">
        <v>43</v>
      </c>
      <c r="D294">
        <v>4</v>
      </c>
      <c r="E294">
        <v>6</v>
      </c>
      <c r="F294">
        <v>44</v>
      </c>
      <c r="G294">
        <v>62</v>
      </c>
      <c r="H294">
        <v>10</v>
      </c>
      <c r="I294" t="s">
        <v>316</v>
      </c>
      <c r="J294" t="s">
        <v>317</v>
      </c>
      <c r="K294" t="s">
        <v>334</v>
      </c>
      <c r="L294" t="s">
        <v>438</v>
      </c>
      <c r="M294" t="str">
        <f t="shared" si="8"/>
        <v>Phaseolus</v>
      </c>
      <c r="N294" s="7" t="s">
        <v>503</v>
      </c>
      <c r="O294" t="s">
        <v>525</v>
      </c>
      <c r="P294" t="str">
        <f t="shared" si="9"/>
        <v>Very High</v>
      </c>
      <c r="Q294">
        <v>0.873</v>
      </c>
      <c r="R294" s="25">
        <v>1200</v>
      </c>
      <c r="S294">
        <v>0</v>
      </c>
      <c r="T294" s="5" t="s">
        <v>481</v>
      </c>
      <c r="U294" s="1" t="s">
        <v>115</v>
      </c>
      <c r="V294" s="1" t="s">
        <v>47</v>
      </c>
      <c r="W294" s="25">
        <v>10</v>
      </c>
      <c r="X294" s="25" t="s">
        <v>43</v>
      </c>
      <c r="Y294" t="s">
        <v>48</v>
      </c>
      <c r="Z294" s="25">
        <v>100</v>
      </c>
      <c r="AA294" s="25">
        <v>20</v>
      </c>
      <c r="AB294" s="25">
        <v>1</v>
      </c>
      <c r="AC294" s="25">
        <v>0</v>
      </c>
      <c r="AD294" s="25">
        <v>1</v>
      </c>
      <c r="AE294" s="29" t="s">
        <v>43</v>
      </c>
      <c r="AF294" s="25">
        <v>10</v>
      </c>
      <c r="AG294" s="25">
        <v>0</v>
      </c>
      <c r="AH294" s="25">
        <v>2</v>
      </c>
      <c r="AI294" s="25">
        <v>0</v>
      </c>
      <c r="AJ294" s="25">
        <v>0</v>
      </c>
      <c r="AK294" s="29">
        <v>8.1999999999999993</v>
      </c>
      <c r="AL294">
        <v>25</v>
      </c>
      <c r="AM294" t="s">
        <v>482</v>
      </c>
      <c r="AN294" t="s">
        <v>67</v>
      </c>
    </row>
    <row r="295" spans="1:40">
      <c r="A295" s="4" t="s">
        <v>478</v>
      </c>
      <c r="B295">
        <v>1993</v>
      </c>
      <c r="C295">
        <v>43</v>
      </c>
      <c r="D295">
        <v>4</v>
      </c>
      <c r="E295">
        <v>6</v>
      </c>
      <c r="F295">
        <v>44</v>
      </c>
      <c r="G295">
        <v>62</v>
      </c>
      <c r="H295">
        <v>10</v>
      </c>
      <c r="I295" t="s">
        <v>316</v>
      </c>
      <c r="J295" t="s">
        <v>317</v>
      </c>
      <c r="K295" t="s">
        <v>334</v>
      </c>
      <c r="L295" t="s">
        <v>438</v>
      </c>
      <c r="M295" t="str">
        <f t="shared" si="8"/>
        <v>Phaseolus</v>
      </c>
      <c r="N295" s="7" t="s">
        <v>503</v>
      </c>
      <c r="O295" t="s">
        <v>526</v>
      </c>
      <c r="P295" t="str">
        <f t="shared" si="9"/>
        <v>Very High</v>
      </c>
      <c r="Q295">
        <v>0.81</v>
      </c>
      <c r="R295" s="25">
        <v>1200</v>
      </c>
      <c r="S295">
        <v>0</v>
      </c>
      <c r="T295" s="5" t="s">
        <v>481</v>
      </c>
      <c r="U295" s="1" t="s">
        <v>115</v>
      </c>
      <c r="V295" s="1" t="s">
        <v>47</v>
      </c>
      <c r="W295" s="25">
        <v>10</v>
      </c>
      <c r="X295" s="25" t="s">
        <v>43</v>
      </c>
      <c r="Y295" t="s">
        <v>48</v>
      </c>
      <c r="Z295" s="25">
        <v>100</v>
      </c>
      <c r="AA295" s="25">
        <v>20</v>
      </c>
      <c r="AB295" s="25">
        <v>1</v>
      </c>
      <c r="AC295" s="25">
        <v>0</v>
      </c>
      <c r="AD295" s="25">
        <v>1</v>
      </c>
      <c r="AE295" s="29" t="s">
        <v>43</v>
      </c>
      <c r="AF295" s="25">
        <v>10</v>
      </c>
      <c r="AG295" s="25">
        <v>0</v>
      </c>
      <c r="AH295" s="25">
        <v>2</v>
      </c>
      <c r="AI295" s="25">
        <v>0</v>
      </c>
      <c r="AJ295" s="25">
        <v>0</v>
      </c>
      <c r="AK295" s="29">
        <v>8.1999999999999993</v>
      </c>
      <c r="AL295">
        <v>25</v>
      </c>
      <c r="AM295" t="s">
        <v>482</v>
      </c>
      <c r="AN295" t="s">
        <v>67</v>
      </c>
    </row>
    <row r="296" spans="1:40">
      <c r="A296" s="4" t="s">
        <v>478</v>
      </c>
      <c r="B296">
        <v>1993</v>
      </c>
      <c r="C296">
        <v>43</v>
      </c>
      <c r="D296">
        <v>4</v>
      </c>
      <c r="E296">
        <v>6</v>
      </c>
      <c r="F296">
        <v>44</v>
      </c>
      <c r="G296">
        <v>62</v>
      </c>
      <c r="H296">
        <v>10</v>
      </c>
      <c r="I296" t="s">
        <v>316</v>
      </c>
      <c r="J296" t="s">
        <v>317</v>
      </c>
      <c r="K296" t="s">
        <v>334</v>
      </c>
      <c r="L296" t="s">
        <v>438</v>
      </c>
      <c r="M296" t="str">
        <f t="shared" si="8"/>
        <v>Phaseolus</v>
      </c>
      <c r="N296" s="7" t="s">
        <v>503</v>
      </c>
      <c r="O296" t="s">
        <v>526</v>
      </c>
      <c r="P296" t="str">
        <f t="shared" si="9"/>
        <v>Very High</v>
      </c>
      <c r="Q296">
        <v>0.95199999999999996</v>
      </c>
      <c r="R296" s="25">
        <v>1200</v>
      </c>
      <c r="S296">
        <v>0</v>
      </c>
      <c r="T296" s="5" t="s">
        <v>481</v>
      </c>
      <c r="U296" s="1" t="s">
        <v>115</v>
      </c>
      <c r="V296" s="1" t="s">
        <v>47</v>
      </c>
      <c r="W296" s="25">
        <v>10</v>
      </c>
      <c r="X296" s="25" t="s">
        <v>43</v>
      </c>
      <c r="Y296" t="s">
        <v>48</v>
      </c>
      <c r="Z296" s="25">
        <v>100</v>
      </c>
      <c r="AA296" s="25">
        <v>20</v>
      </c>
      <c r="AB296" s="25">
        <v>1</v>
      </c>
      <c r="AC296" s="25">
        <v>0</v>
      </c>
      <c r="AD296" s="25">
        <v>1</v>
      </c>
      <c r="AE296" s="29" t="s">
        <v>43</v>
      </c>
      <c r="AF296" s="25">
        <v>10</v>
      </c>
      <c r="AG296" s="25">
        <v>0</v>
      </c>
      <c r="AH296" s="25">
        <v>2</v>
      </c>
      <c r="AI296" s="25">
        <v>0</v>
      </c>
      <c r="AJ296" s="25">
        <v>0</v>
      </c>
      <c r="AK296" s="29">
        <v>8.1999999999999993</v>
      </c>
      <c r="AL296">
        <v>25</v>
      </c>
      <c r="AM296" t="s">
        <v>482</v>
      </c>
      <c r="AN296" t="s">
        <v>67</v>
      </c>
    </row>
    <row r="297" spans="1:40">
      <c r="A297" s="4" t="s">
        <v>478</v>
      </c>
      <c r="B297">
        <v>1993</v>
      </c>
      <c r="C297">
        <v>43</v>
      </c>
      <c r="D297">
        <v>4</v>
      </c>
      <c r="E297">
        <v>6</v>
      </c>
      <c r="F297">
        <v>44</v>
      </c>
      <c r="G297">
        <v>62</v>
      </c>
      <c r="H297">
        <v>10</v>
      </c>
      <c r="I297" t="s">
        <v>316</v>
      </c>
      <c r="J297" t="s">
        <v>317</v>
      </c>
      <c r="K297" t="s">
        <v>334</v>
      </c>
      <c r="L297" t="s">
        <v>438</v>
      </c>
      <c r="M297" t="str">
        <f t="shared" si="8"/>
        <v>Phaseolus</v>
      </c>
      <c r="N297" s="7" t="s">
        <v>503</v>
      </c>
      <c r="O297" t="s">
        <v>527</v>
      </c>
      <c r="P297" t="str">
        <f t="shared" si="9"/>
        <v>Very High</v>
      </c>
      <c r="Q297">
        <v>0.873</v>
      </c>
      <c r="R297" s="25">
        <v>1200</v>
      </c>
      <c r="S297">
        <v>0</v>
      </c>
      <c r="T297" s="5" t="s">
        <v>481</v>
      </c>
      <c r="U297" s="1" t="s">
        <v>115</v>
      </c>
      <c r="V297" s="1" t="s">
        <v>47</v>
      </c>
      <c r="W297" s="25">
        <v>10</v>
      </c>
      <c r="X297" s="25" t="s">
        <v>43</v>
      </c>
      <c r="Y297" t="s">
        <v>48</v>
      </c>
      <c r="Z297" s="25">
        <v>100</v>
      </c>
      <c r="AA297" s="25">
        <v>20</v>
      </c>
      <c r="AB297" s="25">
        <v>1</v>
      </c>
      <c r="AC297" s="25">
        <v>0</v>
      </c>
      <c r="AD297" s="25">
        <v>1</v>
      </c>
      <c r="AE297" s="29" t="s">
        <v>43</v>
      </c>
      <c r="AF297" s="25">
        <v>10</v>
      </c>
      <c r="AG297" s="25">
        <v>0</v>
      </c>
      <c r="AH297" s="25">
        <v>2</v>
      </c>
      <c r="AI297" s="25">
        <v>0</v>
      </c>
      <c r="AJ297" s="25">
        <v>0</v>
      </c>
      <c r="AK297" s="29">
        <v>8.1999999999999993</v>
      </c>
      <c r="AL297">
        <v>25</v>
      </c>
      <c r="AM297" t="s">
        <v>482</v>
      </c>
      <c r="AN297" t="s">
        <v>67</v>
      </c>
    </row>
    <row r="298" spans="1:40">
      <c r="A298" s="4" t="s">
        <v>478</v>
      </c>
      <c r="B298">
        <v>1993</v>
      </c>
      <c r="C298">
        <v>43</v>
      </c>
      <c r="D298">
        <v>4</v>
      </c>
      <c r="E298">
        <v>6</v>
      </c>
      <c r="F298">
        <v>44</v>
      </c>
      <c r="G298">
        <v>62</v>
      </c>
      <c r="H298">
        <v>10</v>
      </c>
      <c r="I298" t="s">
        <v>316</v>
      </c>
      <c r="J298" t="s">
        <v>317</v>
      </c>
      <c r="K298" t="s">
        <v>334</v>
      </c>
      <c r="L298" t="s">
        <v>438</v>
      </c>
      <c r="M298" t="str">
        <f t="shared" si="8"/>
        <v>Phaseolus</v>
      </c>
      <c r="N298" s="7" t="s">
        <v>503</v>
      </c>
      <c r="O298" t="s">
        <v>528</v>
      </c>
      <c r="P298" t="str">
        <f t="shared" si="9"/>
        <v>Very High</v>
      </c>
      <c r="Q298">
        <v>0.92100000000000004</v>
      </c>
      <c r="R298" s="25">
        <v>1200</v>
      </c>
      <c r="S298">
        <v>0</v>
      </c>
      <c r="T298" s="5" t="s">
        <v>481</v>
      </c>
      <c r="U298" s="1" t="s">
        <v>115</v>
      </c>
      <c r="V298" s="1" t="s">
        <v>47</v>
      </c>
      <c r="W298" s="25">
        <v>10</v>
      </c>
      <c r="X298" s="25" t="s">
        <v>43</v>
      </c>
      <c r="Y298" t="s">
        <v>48</v>
      </c>
      <c r="Z298" s="25">
        <v>100</v>
      </c>
      <c r="AA298" s="25">
        <v>20</v>
      </c>
      <c r="AB298" s="25">
        <v>1</v>
      </c>
      <c r="AC298" s="25">
        <v>0</v>
      </c>
      <c r="AD298" s="25">
        <v>1</v>
      </c>
      <c r="AE298" s="29" t="s">
        <v>43</v>
      </c>
      <c r="AF298" s="25">
        <v>10</v>
      </c>
      <c r="AG298" s="25">
        <v>0</v>
      </c>
      <c r="AH298" s="25">
        <v>2</v>
      </c>
      <c r="AI298" s="25">
        <v>0</v>
      </c>
      <c r="AJ298" s="25">
        <v>0</v>
      </c>
      <c r="AK298" s="29">
        <v>8.1999999999999993</v>
      </c>
      <c r="AL298">
        <v>25</v>
      </c>
      <c r="AM298" t="s">
        <v>482</v>
      </c>
      <c r="AN298" t="s">
        <v>67</v>
      </c>
    </row>
    <row r="299" spans="1:40">
      <c r="A299" s="4" t="s">
        <v>172</v>
      </c>
      <c r="B299">
        <v>1985</v>
      </c>
      <c r="C299">
        <v>43</v>
      </c>
      <c r="D299">
        <v>4</v>
      </c>
      <c r="E299">
        <v>6</v>
      </c>
      <c r="F299">
        <v>44</v>
      </c>
      <c r="G299">
        <v>62</v>
      </c>
      <c r="H299">
        <v>11</v>
      </c>
      <c r="I299" t="s">
        <v>316</v>
      </c>
      <c r="J299" t="s">
        <v>317</v>
      </c>
      <c r="K299" t="s">
        <v>334</v>
      </c>
      <c r="L299" t="s">
        <v>438</v>
      </c>
      <c r="M299" t="str">
        <f t="shared" si="8"/>
        <v>Phaseolus</v>
      </c>
      <c r="N299" s="7" t="s">
        <v>529</v>
      </c>
      <c r="O299" t="s">
        <v>43</v>
      </c>
      <c r="P299" t="str">
        <f t="shared" si="9"/>
        <v>High</v>
      </c>
      <c r="Q299">
        <v>0.56999999999999995</v>
      </c>
      <c r="R299" s="25">
        <v>1000</v>
      </c>
      <c r="S299">
        <v>0</v>
      </c>
      <c r="T299" s="5" t="s">
        <v>173</v>
      </c>
      <c r="U299" s="2" t="s">
        <v>88</v>
      </c>
      <c r="V299" s="1" t="s">
        <v>47</v>
      </c>
      <c r="W299" s="25">
        <v>10</v>
      </c>
      <c r="X299" s="25">
        <v>0.5</v>
      </c>
      <c r="Y299" t="s">
        <v>48</v>
      </c>
      <c r="Z299" s="25">
        <v>100</v>
      </c>
      <c r="AA299" s="25">
        <v>20</v>
      </c>
      <c r="AB299" s="25">
        <v>5</v>
      </c>
      <c r="AC299" s="25" t="s">
        <v>43</v>
      </c>
      <c r="AD299" s="25">
        <v>0.1</v>
      </c>
      <c r="AE299" s="29">
        <v>0.5</v>
      </c>
      <c r="AF299" s="25">
        <v>10</v>
      </c>
      <c r="AG299" s="25">
        <v>0</v>
      </c>
      <c r="AH299" s="25">
        <v>0</v>
      </c>
      <c r="AI299" s="25">
        <v>0</v>
      </c>
      <c r="AJ299" s="25">
        <v>0</v>
      </c>
      <c r="AK299" s="29">
        <v>7.8</v>
      </c>
      <c r="AL299">
        <v>25</v>
      </c>
      <c r="AM299" t="s">
        <v>43</v>
      </c>
      <c r="AN299" t="s">
        <v>67</v>
      </c>
    </row>
    <row r="300" spans="1:40">
      <c r="A300" s="4" t="s">
        <v>315</v>
      </c>
      <c r="B300">
        <v>1992</v>
      </c>
      <c r="C300">
        <v>43</v>
      </c>
      <c r="D300">
        <v>4</v>
      </c>
      <c r="E300">
        <v>6</v>
      </c>
      <c r="F300">
        <v>44</v>
      </c>
      <c r="G300">
        <v>62</v>
      </c>
      <c r="H300">
        <v>11</v>
      </c>
      <c r="I300" t="s">
        <v>316</v>
      </c>
      <c r="J300" t="s">
        <v>317</v>
      </c>
      <c r="K300" t="s">
        <v>334</v>
      </c>
      <c r="L300" t="s">
        <v>438</v>
      </c>
      <c r="M300" t="str">
        <f t="shared" si="8"/>
        <v>Phaseolus</v>
      </c>
      <c r="N300" s="7" t="s">
        <v>529</v>
      </c>
      <c r="O300" t="s">
        <v>43</v>
      </c>
      <c r="P300" t="str">
        <f t="shared" si="9"/>
        <v>High</v>
      </c>
      <c r="Q300">
        <v>0.65</v>
      </c>
      <c r="R300" s="25">
        <v>330</v>
      </c>
      <c r="S300">
        <v>0</v>
      </c>
      <c r="T300" s="5" t="s">
        <v>321</v>
      </c>
      <c r="U300" s="1" t="s">
        <v>322</v>
      </c>
      <c r="V300" s="1" t="s">
        <v>47</v>
      </c>
      <c r="W300" s="25" t="s">
        <v>43</v>
      </c>
      <c r="X300" s="25">
        <v>0.5</v>
      </c>
      <c r="Y300" t="s">
        <v>76</v>
      </c>
      <c r="Z300" s="25">
        <v>50</v>
      </c>
      <c r="AA300" s="25">
        <v>5</v>
      </c>
      <c r="AB300" s="25">
        <v>5</v>
      </c>
      <c r="AC300" s="25">
        <v>0</v>
      </c>
      <c r="AD300" s="25">
        <v>0</v>
      </c>
      <c r="AE300" s="29">
        <v>0.2</v>
      </c>
      <c r="AF300" s="25">
        <v>20</v>
      </c>
      <c r="AG300" s="25">
        <v>0</v>
      </c>
      <c r="AH300" s="25">
        <v>0</v>
      </c>
      <c r="AI300" s="25">
        <v>0</v>
      </c>
      <c r="AJ300" s="25">
        <v>0</v>
      </c>
      <c r="AK300" s="29">
        <v>8</v>
      </c>
      <c r="AL300">
        <v>25</v>
      </c>
      <c r="AM300" t="s">
        <v>323</v>
      </c>
      <c r="AN300" t="s">
        <v>67</v>
      </c>
    </row>
    <row r="301" spans="1:40">
      <c r="A301" s="4" t="s">
        <v>478</v>
      </c>
      <c r="B301">
        <v>1993</v>
      </c>
      <c r="C301">
        <v>43</v>
      </c>
      <c r="D301">
        <v>4</v>
      </c>
      <c r="E301">
        <v>6</v>
      </c>
      <c r="F301">
        <v>44</v>
      </c>
      <c r="G301">
        <v>62</v>
      </c>
      <c r="H301">
        <v>11</v>
      </c>
      <c r="I301" t="s">
        <v>316</v>
      </c>
      <c r="J301" t="s">
        <v>317</v>
      </c>
      <c r="K301" t="s">
        <v>334</v>
      </c>
      <c r="L301" t="s">
        <v>438</v>
      </c>
      <c r="M301" t="str">
        <f t="shared" si="8"/>
        <v>Phaseolus</v>
      </c>
      <c r="N301" s="7" t="s">
        <v>529</v>
      </c>
      <c r="O301" t="s">
        <v>530</v>
      </c>
      <c r="P301" t="str">
        <f t="shared" si="9"/>
        <v>High</v>
      </c>
      <c r="Q301">
        <v>0.69599999999999995</v>
      </c>
      <c r="R301" s="25">
        <v>1200</v>
      </c>
      <c r="S301">
        <v>0</v>
      </c>
      <c r="T301" s="5" t="s">
        <v>481</v>
      </c>
      <c r="U301" s="1" t="s">
        <v>115</v>
      </c>
      <c r="V301" s="1" t="s">
        <v>47</v>
      </c>
      <c r="W301" s="25">
        <v>10</v>
      </c>
      <c r="X301" s="25" t="s">
        <v>43</v>
      </c>
      <c r="Y301" t="s">
        <v>48</v>
      </c>
      <c r="Z301" s="25">
        <v>100</v>
      </c>
      <c r="AA301" s="25">
        <v>20</v>
      </c>
      <c r="AB301" s="25">
        <v>1</v>
      </c>
      <c r="AC301" s="25">
        <v>0</v>
      </c>
      <c r="AD301" s="25">
        <v>1</v>
      </c>
      <c r="AE301" s="29" t="s">
        <v>43</v>
      </c>
      <c r="AF301" s="25">
        <v>10</v>
      </c>
      <c r="AG301" s="25">
        <v>0</v>
      </c>
      <c r="AH301" s="25">
        <v>2</v>
      </c>
      <c r="AI301" s="25">
        <v>0</v>
      </c>
      <c r="AJ301" s="25">
        <v>0</v>
      </c>
      <c r="AK301" s="29">
        <v>8.1999999999999993</v>
      </c>
      <c r="AL301">
        <v>25</v>
      </c>
      <c r="AM301" t="s">
        <v>482</v>
      </c>
      <c r="AN301" t="s">
        <v>67</v>
      </c>
    </row>
    <row r="302" spans="1:40">
      <c r="A302" s="4" t="s">
        <v>478</v>
      </c>
      <c r="B302">
        <v>1993</v>
      </c>
      <c r="C302">
        <v>43</v>
      </c>
      <c r="D302">
        <v>4</v>
      </c>
      <c r="E302">
        <v>6</v>
      </c>
      <c r="F302">
        <v>44</v>
      </c>
      <c r="G302">
        <v>62</v>
      </c>
      <c r="H302">
        <v>11</v>
      </c>
      <c r="I302" t="s">
        <v>316</v>
      </c>
      <c r="J302" t="s">
        <v>317</v>
      </c>
      <c r="K302" t="s">
        <v>334</v>
      </c>
      <c r="L302" t="s">
        <v>438</v>
      </c>
      <c r="M302" t="str">
        <f t="shared" si="8"/>
        <v>Phaseolus</v>
      </c>
      <c r="N302" s="7" t="s">
        <v>529</v>
      </c>
      <c r="O302" s="2" t="s">
        <v>531</v>
      </c>
      <c r="P302" t="str">
        <f t="shared" si="9"/>
        <v>Very High</v>
      </c>
      <c r="Q302">
        <v>0.9</v>
      </c>
      <c r="R302" s="25">
        <v>1200</v>
      </c>
      <c r="S302">
        <v>0</v>
      </c>
      <c r="T302" s="5" t="s">
        <v>481</v>
      </c>
      <c r="U302" s="1" t="s">
        <v>115</v>
      </c>
      <c r="V302" s="1" t="s">
        <v>47</v>
      </c>
      <c r="W302" s="25">
        <v>10</v>
      </c>
      <c r="X302" s="25" t="s">
        <v>43</v>
      </c>
      <c r="Y302" t="s">
        <v>48</v>
      </c>
      <c r="Z302" s="25">
        <v>100</v>
      </c>
      <c r="AA302" s="25">
        <v>20</v>
      </c>
      <c r="AB302" s="25">
        <v>1</v>
      </c>
      <c r="AC302" s="25">
        <v>0</v>
      </c>
      <c r="AD302" s="25">
        <v>1</v>
      </c>
      <c r="AE302" s="29" t="s">
        <v>43</v>
      </c>
      <c r="AF302" s="25">
        <v>10</v>
      </c>
      <c r="AG302" s="25">
        <v>0</v>
      </c>
      <c r="AH302" s="25">
        <v>2</v>
      </c>
      <c r="AI302" s="25">
        <v>0</v>
      </c>
      <c r="AJ302" s="25">
        <v>0</v>
      </c>
      <c r="AK302" s="29">
        <v>8.1999999999999993</v>
      </c>
      <c r="AL302">
        <v>25</v>
      </c>
      <c r="AM302" t="s">
        <v>482</v>
      </c>
      <c r="AN302" t="s">
        <v>67</v>
      </c>
    </row>
    <row r="303" spans="1:40">
      <c r="A303" s="4" t="s">
        <v>478</v>
      </c>
      <c r="B303">
        <v>1993</v>
      </c>
      <c r="C303">
        <v>43</v>
      </c>
      <c r="D303">
        <v>4</v>
      </c>
      <c r="E303">
        <v>6</v>
      </c>
      <c r="F303">
        <v>44</v>
      </c>
      <c r="G303">
        <v>62</v>
      </c>
      <c r="H303">
        <v>12</v>
      </c>
      <c r="I303" t="s">
        <v>316</v>
      </c>
      <c r="J303" t="s">
        <v>317</v>
      </c>
      <c r="K303" t="s">
        <v>334</v>
      </c>
      <c r="L303" t="s">
        <v>438</v>
      </c>
      <c r="M303" t="str">
        <f t="shared" si="8"/>
        <v>Phaseolus</v>
      </c>
      <c r="N303" s="7" t="s">
        <v>532</v>
      </c>
      <c r="O303" t="s">
        <v>533</v>
      </c>
      <c r="P303" t="str">
        <f t="shared" si="9"/>
        <v>High</v>
      </c>
      <c r="Q303">
        <v>0.72899999999999998</v>
      </c>
      <c r="R303" s="25">
        <v>1200</v>
      </c>
      <c r="S303">
        <v>0</v>
      </c>
      <c r="T303" s="5" t="s">
        <v>481</v>
      </c>
      <c r="U303" s="1" t="s">
        <v>115</v>
      </c>
      <c r="V303" s="1" t="s">
        <v>47</v>
      </c>
      <c r="W303" s="25">
        <v>10</v>
      </c>
      <c r="X303" s="25" t="s">
        <v>43</v>
      </c>
      <c r="Y303" t="s">
        <v>48</v>
      </c>
      <c r="Z303" s="25">
        <v>100</v>
      </c>
      <c r="AA303" s="25">
        <v>20</v>
      </c>
      <c r="AB303" s="25">
        <v>1</v>
      </c>
      <c r="AC303" s="25">
        <v>0</v>
      </c>
      <c r="AD303" s="25">
        <v>1</v>
      </c>
      <c r="AE303" s="29" t="s">
        <v>43</v>
      </c>
      <c r="AF303" s="25">
        <v>10</v>
      </c>
      <c r="AG303" s="25">
        <v>0</v>
      </c>
      <c r="AH303" s="25">
        <v>2</v>
      </c>
      <c r="AI303" s="25">
        <v>0</v>
      </c>
      <c r="AJ303" s="25">
        <v>0</v>
      </c>
      <c r="AK303" s="29">
        <v>8.1999999999999993</v>
      </c>
      <c r="AL303">
        <v>25</v>
      </c>
      <c r="AM303" t="s">
        <v>482</v>
      </c>
      <c r="AN303" t="s">
        <v>67</v>
      </c>
    </row>
    <row r="304" spans="1:40">
      <c r="A304" s="4" t="s">
        <v>478</v>
      </c>
      <c r="B304">
        <v>1993</v>
      </c>
      <c r="C304">
        <v>43</v>
      </c>
      <c r="D304">
        <v>4</v>
      </c>
      <c r="E304">
        <v>6</v>
      </c>
      <c r="F304">
        <v>44</v>
      </c>
      <c r="G304">
        <v>62</v>
      </c>
      <c r="H304">
        <v>12</v>
      </c>
      <c r="I304" t="s">
        <v>316</v>
      </c>
      <c r="J304" t="s">
        <v>317</v>
      </c>
      <c r="K304" t="s">
        <v>334</v>
      </c>
      <c r="L304" t="s">
        <v>438</v>
      </c>
      <c r="M304" t="str">
        <f t="shared" si="8"/>
        <v>Phaseolus</v>
      </c>
      <c r="N304" s="7" t="s">
        <v>532</v>
      </c>
      <c r="O304" t="s">
        <v>534</v>
      </c>
      <c r="P304" t="str">
        <f t="shared" si="9"/>
        <v>Very High</v>
      </c>
      <c r="Q304">
        <v>0.84399999999999997</v>
      </c>
      <c r="R304" s="25">
        <v>1200</v>
      </c>
      <c r="S304">
        <v>0</v>
      </c>
      <c r="T304" s="5" t="s">
        <v>481</v>
      </c>
      <c r="U304" s="1" t="s">
        <v>115</v>
      </c>
      <c r="V304" s="1" t="s">
        <v>47</v>
      </c>
      <c r="W304" s="25">
        <v>10</v>
      </c>
      <c r="X304" s="25" t="s">
        <v>43</v>
      </c>
      <c r="Y304" t="s">
        <v>48</v>
      </c>
      <c r="Z304" s="25">
        <v>100</v>
      </c>
      <c r="AA304" s="25">
        <v>20</v>
      </c>
      <c r="AB304" s="25">
        <v>1</v>
      </c>
      <c r="AC304" s="25">
        <v>0</v>
      </c>
      <c r="AD304" s="25">
        <v>1</v>
      </c>
      <c r="AE304" s="29" t="s">
        <v>43</v>
      </c>
      <c r="AF304" s="25">
        <v>10</v>
      </c>
      <c r="AG304" s="25">
        <v>0</v>
      </c>
      <c r="AH304" s="25">
        <v>2</v>
      </c>
      <c r="AI304" s="25">
        <v>0</v>
      </c>
      <c r="AJ304" s="25">
        <v>0</v>
      </c>
      <c r="AK304" s="29">
        <v>8.1999999999999993</v>
      </c>
      <c r="AL304">
        <v>25</v>
      </c>
      <c r="AM304" t="s">
        <v>482</v>
      </c>
      <c r="AN304" t="s">
        <v>67</v>
      </c>
    </row>
    <row r="305" spans="1:40">
      <c r="A305" s="4" t="s">
        <v>478</v>
      </c>
      <c r="B305">
        <v>1993</v>
      </c>
      <c r="C305">
        <v>43</v>
      </c>
      <c r="D305">
        <v>4</v>
      </c>
      <c r="E305">
        <v>6</v>
      </c>
      <c r="F305">
        <v>44</v>
      </c>
      <c r="G305">
        <v>62</v>
      </c>
      <c r="H305">
        <v>12</v>
      </c>
      <c r="I305" t="s">
        <v>316</v>
      </c>
      <c r="J305" t="s">
        <v>317</v>
      </c>
      <c r="K305" t="s">
        <v>334</v>
      </c>
      <c r="L305" t="s">
        <v>438</v>
      </c>
      <c r="M305" t="str">
        <f t="shared" si="8"/>
        <v>Phaseolus</v>
      </c>
      <c r="N305" s="7" t="s">
        <v>532</v>
      </c>
      <c r="O305" s="2" t="s">
        <v>535</v>
      </c>
      <c r="P305" t="str">
        <f t="shared" si="9"/>
        <v>Very High</v>
      </c>
      <c r="Q305">
        <v>0.84</v>
      </c>
      <c r="R305" s="25">
        <v>1200</v>
      </c>
      <c r="S305">
        <v>0</v>
      </c>
      <c r="T305" s="5" t="s">
        <v>481</v>
      </c>
      <c r="U305" s="1" t="s">
        <v>115</v>
      </c>
      <c r="V305" s="1" t="s">
        <v>47</v>
      </c>
      <c r="W305" s="25">
        <v>10</v>
      </c>
      <c r="X305" s="25" t="s">
        <v>43</v>
      </c>
      <c r="Y305" t="s">
        <v>48</v>
      </c>
      <c r="Z305" s="25">
        <v>100</v>
      </c>
      <c r="AA305" s="25">
        <v>20</v>
      </c>
      <c r="AB305" s="25">
        <v>1</v>
      </c>
      <c r="AC305" s="25">
        <v>0</v>
      </c>
      <c r="AD305" s="25">
        <v>1</v>
      </c>
      <c r="AE305" s="29" t="s">
        <v>43</v>
      </c>
      <c r="AF305" s="25">
        <v>10</v>
      </c>
      <c r="AG305" s="25">
        <v>0</v>
      </c>
      <c r="AH305" s="25">
        <v>2</v>
      </c>
      <c r="AI305" s="25">
        <v>0</v>
      </c>
      <c r="AJ305" s="25">
        <v>0</v>
      </c>
      <c r="AK305" s="29">
        <v>8.1999999999999993</v>
      </c>
      <c r="AL305">
        <v>25</v>
      </c>
      <c r="AM305" t="s">
        <v>482</v>
      </c>
      <c r="AN305" t="s">
        <v>67</v>
      </c>
    </row>
    <row r="306" spans="1:40">
      <c r="A306" s="4" t="s">
        <v>478</v>
      </c>
      <c r="B306">
        <v>1993</v>
      </c>
      <c r="C306">
        <v>43</v>
      </c>
      <c r="D306">
        <v>4</v>
      </c>
      <c r="E306">
        <v>6</v>
      </c>
      <c r="F306">
        <v>44</v>
      </c>
      <c r="G306">
        <v>71</v>
      </c>
      <c r="H306">
        <v>0</v>
      </c>
      <c r="I306" t="s">
        <v>316</v>
      </c>
      <c r="J306" t="s">
        <v>317</v>
      </c>
      <c r="K306" t="s">
        <v>334</v>
      </c>
      <c r="L306" t="s">
        <v>438</v>
      </c>
      <c r="M306" t="str">
        <f t="shared" si="8"/>
        <v>Macroptilium</v>
      </c>
      <c r="N306" s="7" t="s">
        <v>536</v>
      </c>
      <c r="O306" t="s">
        <v>43</v>
      </c>
      <c r="P306" t="str">
        <f t="shared" si="9"/>
        <v>High</v>
      </c>
      <c r="Q306">
        <v>0.54</v>
      </c>
      <c r="R306" s="25">
        <v>1200</v>
      </c>
      <c r="S306">
        <v>0</v>
      </c>
      <c r="T306" s="5" t="s">
        <v>481</v>
      </c>
      <c r="U306" s="1" t="s">
        <v>115</v>
      </c>
      <c r="V306" s="1" t="s">
        <v>47</v>
      </c>
      <c r="W306" s="25">
        <v>10</v>
      </c>
      <c r="X306" s="25" t="s">
        <v>43</v>
      </c>
      <c r="Y306" t="s">
        <v>48</v>
      </c>
      <c r="Z306" s="25">
        <v>100</v>
      </c>
      <c r="AA306" s="25">
        <v>20</v>
      </c>
      <c r="AB306" s="25">
        <v>1</v>
      </c>
      <c r="AC306" s="25">
        <v>0</v>
      </c>
      <c r="AD306" s="25">
        <v>1</v>
      </c>
      <c r="AE306" s="29" t="s">
        <v>43</v>
      </c>
      <c r="AF306" s="25">
        <v>10</v>
      </c>
      <c r="AG306" s="25">
        <v>0</v>
      </c>
      <c r="AH306" s="25">
        <v>2</v>
      </c>
      <c r="AI306" s="25">
        <v>0</v>
      </c>
      <c r="AJ306" s="25">
        <v>0</v>
      </c>
      <c r="AK306" s="29">
        <v>8.1999999999999993</v>
      </c>
      <c r="AL306">
        <v>25</v>
      </c>
      <c r="AM306" t="s">
        <v>482</v>
      </c>
      <c r="AN306" t="s">
        <v>67</v>
      </c>
    </row>
    <row r="307" spans="1:40">
      <c r="A307" s="4" t="s">
        <v>315</v>
      </c>
      <c r="B307">
        <v>1992</v>
      </c>
      <c r="C307">
        <v>43</v>
      </c>
      <c r="D307">
        <v>4</v>
      </c>
      <c r="E307">
        <v>6</v>
      </c>
      <c r="F307">
        <v>45</v>
      </c>
      <c r="G307">
        <v>3</v>
      </c>
      <c r="H307">
        <v>0</v>
      </c>
      <c r="I307" t="s">
        <v>316</v>
      </c>
      <c r="J307" t="s">
        <v>317</v>
      </c>
      <c r="K307" t="s">
        <v>334</v>
      </c>
      <c r="L307" t="s">
        <v>537</v>
      </c>
      <c r="M307" t="str">
        <f t="shared" si="8"/>
        <v>Psoralea</v>
      </c>
      <c r="N307" s="7" t="s">
        <v>538</v>
      </c>
      <c r="O307" t="s">
        <v>43</v>
      </c>
      <c r="P307" t="str">
        <f t="shared" si="9"/>
        <v>Moderate</v>
      </c>
      <c r="Q307">
        <v>0.221</v>
      </c>
      <c r="R307" s="25">
        <v>330</v>
      </c>
      <c r="S307">
        <v>0</v>
      </c>
      <c r="T307" s="5" t="s">
        <v>321</v>
      </c>
      <c r="U307" s="1" t="s">
        <v>322</v>
      </c>
      <c r="V307" s="1" t="s">
        <v>47</v>
      </c>
      <c r="W307" s="25" t="s">
        <v>43</v>
      </c>
      <c r="X307" s="25">
        <v>0.5</v>
      </c>
      <c r="Y307" t="s">
        <v>76</v>
      </c>
      <c r="Z307" s="25">
        <v>50</v>
      </c>
      <c r="AA307" s="25">
        <v>5</v>
      </c>
      <c r="AB307" s="25">
        <v>5</v>
      </c>
      <c r="AC307" s="25">
        <v>0</v>
      </c>
      <c r="AD307" s="25">
        <v>0</v>
      </c>
      <c r="AE307" s="29">
        <v>0.2</v>
      </c>
      <c r="AF307" s="25">
        <v>20</v>
      </c>
      <c r="AG307" s="25">
        <v>0</v>
      </c>
      <c r="AH307" s="25">
        <v>0</v>
      </c>
      <c r="AI307" s="25">
        <v>0</v>
      </c>
      <c r="AJ307" s="25">
        <v>0</v>
      </c>
      <c r="AK307" s="29">
        <v>8</v>
      </c>
      <c r="AL307">
        <v>25</v>
      </c>
      <c r="AM307" t="s">
        <v>323</v>
      </c>
      <c r="AN307" t="s">
        <v>67</v>
      </c>
    </row>
    <row r="308" spans="1:40">
      <c r="A308" s="4" t="s">
        <v>315</v>
      </c>
      <c r="B308">
        <v>1992</v>
      </c>
      <c r="C308">
        <v>43</v>
      </c>
      <c r="D308">
        <v>4</v>
      </c>
      <c r="E308">
        <v>6</v>
      </c>
      <c r="F308">
        <v>45</v>
      </c>
      <c r="G308">
        <v>3</v>
      </c>
      <c r="H308">
        <v>0</v>
      </c>
      <c r="I308" t="s">
        <v>316</v>
      </c>
      <c r="J308" t="s">
        <v>317</v>
      </c>
      <c r="K308" t="s">
        <v>334</v>
      </c>
      <c r="L308" t="s">
        <v>537</v>
      </c>
      <c r="M308" t="str">
        <f t="shared" si="8"/>
        <v>Psoralea</v>
      </c>
      <c r="N308" s="7" t="s">
        <v>539</v>
      </c>
      <c r="O308" t="s">
        <v>43</v>
      </c>
      <c r="P308" t="str">
        <f t="shared" si="9"/>
        <v>Moderate</v>
      </c>
      <c r="Q308">
        <v>0.378</v>
      </c>
      <c r="R308" s="25">
        <v>330</v>
      </c>
      <c r="S308">
        <v>0</v>
      </c>
      <c r="T308" s="5" t="s">
        <v>321</v>
      </c>
      <c r="U308" s="1" t="s">
        <v>322</v>
      </c>
      <c r="V308" s="1" t="s">
        <v>47</v>
      </c>
      <c r="W308" s="25" t="s">
        <v>43</v>
      </c>
      <c r="X308" s="25">
        <v>0.5</v>
      </c>
      <c r="Y308" t="s">
        <v>76</v>
      </c>
      <c r="Z308" s="25">
        <v>50</v>
      </c>
      <c r="AA308" s="25">
        <v>5</v>
      </c>
      <c r="AB308" s="25">
        <v>5</v>
      </c>
      <c r="AC308" s="25">
        <v>0</v>
      </c>
      <c r="AD308" s="25">
        <v>0</v>
      </c>
      <c r="AE308" s="29">
        <v>0.2</v>
      </c>
      <c r="AF308" s="25">
        <v>20</v>
      </c>
      <c r="AG308" s="25">
        <v>0</v>
      </c>
      <c r="AH308" s="25">
        <v>0</v>
      </c>
      <c r="AI308" s="25">
        <v>0</v>
      </c>
      <c r="AJ308" s="25">
        <v>0</v>
      </c>
      <c r="AK308" s="29">
        <v>8</v>
      </c>
      <c r="AL308">
        <v>25</v>
      </c>
      <c r="AM308" t="s">
        <v>323</v>
      </c>
      <c r="AN308" t="s">
        <v>67</v>
      </c>
    </row>
    <row r="309" spans="1:40">
      <c r="A309" s="4" t="s">
        <v>315</v>
      </c>
      <c r="B309">
        <v>1992</v>
      </c>
      <c r="C309">
        <v>43</v>
      </c>
      <c r="D309">
        <v>4</v>
      </c>
      <c r="E309">
        <v>6</v>
      </c>
      <c r="F309">
        <v>45</v>
      </c>
      <c r="G309">
        <v>3</v>
      </c>
      <c r="H309">
        <v>0</v>
      </c>
      <c r="I309" t="s">
        <v>316</v>
      </c>
      <c r="J309" t="s">
        <v>317</v>
      </c>
      <c r="K309" t="s">
        <v>334</v>
      </c>
      <c r="L309" t="s">
        <v>537</v>
      </c>
      <c r="M309" t="str">
        <f t="shared" si="8"/>
        <v>Psoralea</v>
      </c>
      <c r="N309" s="7" t="s">
        <v>540</v>
      </c>
      <c r="O309" t="s">
        <v>43</v>
      </c>
      <c r="P309" t="str">
        <f t="shared" si="9"/>
        <v>Low</v>
      </c>
      <c r="Q309">
        <v>0.161</v>
      </c>
      <c r="R309" s="25">
        <v>330</v>
      </c>
      <c r="S309">
        <v>0</v>
      </c>
      <c r="T309" s="5" t="s">
        <v>321</v>
      </c>
      <c r="U309" s="1" t="s">
        <v>322</v>
      </c>
      <c r="V309" s="1" t="s">
        <v>47</v>
      </c>
      <c r="W309" s="25" t="s">
        <v>43</v>
      </c>
      <c r="X309" s="25">
        <v>0.5</v>
      </c>
      <c r="Y309" t="s">
        <v>76</v>
      </c>
      <c r="Z309" s="25">
        <v>50</v>
      </c>
      <c r="AA309" s="25">
        <v>5</v>
      </c>
      <c r="AB309" s="25">
        <v>5</v>
      </c>
      <c r="AC309" s="25">
        <v>0</v>
      </c>
      <c r="AD309" s="25">
        <v>0</v>
      </c>
      <c r="AE309" s="29">
        <v>0.2</v>
      </c>
      <c r="AF309" s="25">
        <v>20</v>
      </c>
      <c r="AG309" s="25">
        <v>0</v>
      </c>
      <c r="AH309" s="25">
        <v>0</v>
      </c>
      <c r="AI309" s="25">
        <v>0</v>
      </c>
      <c r="AJ309" s="25">
        <v>0</v>
      </c>
      <c r="AK309" s="29">
        <v>8</v>
      </c>
      <c r="AL309">
        <v>25</v>
      </c>
      <c r="AM309" t="s">
        <v>323</v>
      </c>
      <c r="AN309" t="s">
        <v>67</v>
      </c>
    </row>
    <row r="310" spans="1:40">
      <c r="A310" s="4" t="s">
        <v>290</v>
      </c>
      <c r="B310">
        <v>2002</v>
      </c>
      <c r="C310">
        <v>45</v>
      </c>
      <c r="D310">
        <v>8</v>
      </c>
      <c r="E310">
        <v>0</v>
      </c>
      <c r="F310">
        <v>1</v>
      </c>
      <c r="G310">
        <v>1</v>
      </c>
      <c r="H310">
        <v>0</v>
      </c>
      <c r="I310" t="s">
        <v>541</v>
      </c>
      <c r="J310" t="s">
        <v>542</v>
      </c>
      <c r="K310" t="s">
        <v>43</v>
      </c>
      <c r="L310" t="s">
        <v>543</v>
      </c>
      <c r="M310" t="str">
        <f t="shared" si="8"/>
        <v>Clusia</v>
      </c>
      <c r="N310" s="7" t="s">
        <v>544</v>
      </c>
      <c r="O310" t="s">
        <v>43</v>
      </c>
      <c r="P310" t="str">
        <f t="shared" si="9"/>
        <v>Very High</v>
      </c>
      <c r="Q310">
        <f>1-(14.82/100)</f>
        <v>0.8518</v>
      </c>
      <c r="R310" s="25">
        <v>300</v>
      </c>
      <c r="S310">
        <v>0</v>
      </c>
      <c r="T310" s="5" t="s">
        <v>291</v>
      </c>
      <c r="U310" s="1" t="s">
        <v>314</v>
      </c>
      <c r="V310" s="1" t="s">
        <v>47</v>
      </c>
      <c r="W310" s="25" t="s">
        <v>43</v>
      </c>
      <c r="X310" s="25" t="s">
        <v>43</v>
      </c>
      <c r="Y310" t="s">
        <v>292</v>
      </c>
      <c r="Z310" s="25">
        <v>166</v>
      </c>
      <c r="AA310" s="25">
        <v>10</v>
      </c>
      <c r="AB310" s="25">
        <v>4</v>
      </c>
      <c r="AC310" s="25">
        <v>2.8</v>
      </c>
      <c r="AD310" s="25">
        <v>1</v>
      </c>
      <c r="AE310" s="29" t="s">
        <v>43</v>
      </c>
      <c r="AF310" s="25">
        <v>20</v>
      </c>
      <c r="AG310" s="25">
        <v>0</v>
      </c>
      <c r="AH310" s="25">
        <v>0</v>
      </c>
      <c r="AI310" s="25">
        <v>0</v>
      </c>
      <c r="AJ310" s="25">
        <v>0</v>
      </c>
      <c r="AK310" s="29">
        <v>8</v>
      </c>
      <c r="AL310">
        <v>30</v>
      </c>
      <c r="AM310" t="s">
        <v>293</v>
      </c>
      <c r="AN310" t="s">
        <v>67</v>
      </c>
    </row>
    <row r="311" spans="1:40">
      <c r="A311" s="4" t="s">
        <v>545</v>
      </c>
      <c r="B311">
        <v>1985</v>
      </c>
      <c r="C311">
        <v>48</v>
      </c>
      <c r="D311">
        <v>17</v>
      </c>
      <c r="E311">
        <v>1</v>
      </c>
      <c r="F311">
        <v>13</v>
      </c>
      <c r="G311">
        <v>1</v>
      </c>
      <c r="H311">
        <v>0</v>
      </c>
      <c r="I311" t="s">
        <v>546</v>
      </c>
      <c r="J311" t="s">
        <v>547</v>
      </c>
      <c r="K311" t="s">
        <v>548</v>
      </c>
      <c r="L311" t="s">
        <v>549</v>
      </c>
      <c r="M311" t="str">
        <f t="shared" si="8"/>
        <v>Arabidopsis</v>
      </c>
      <c r="N311" s="7" t="s">
        <v>550</v>
      </c>
      <c r="O311" t="s">
        <v>551</v>
      </c>
      <c r="P311" t="str">
        <f t="shared" si="9"/>
        <v>Low</v>
      </c>
      <c r="Q311">
        <v>0</v>
      </c>
      <c r="R311" s="25">
        <v>300</v>
      </c>
      <c r="S311">
        <v>0</v>
      </c>
      <c r="T311" s="5" t="s">
        <v>552</v>
      </c>
      <c r="U311" s="1" t="s">
        <v>75</v>
      </c>
      <c r="V311" s="1" t="s">
        <v>47</v>
      </c>
      <c r="W311" s="25">
        <v>10</v>
      </c>
      <c r="X311" s="25">
        <v>0.5</v>
      </c>
      <c r="Y311" t="s">
        <v>201</v>
      </c>
      <c r="Z311" s="30">
        <v>100</v>
      </c>
      <c r="AA311" s="25">
        <v>10</v>
      </c>
      <c r="AB311" s="25">
        <v>0</v>
      </c>
      <c r="AC311" s="25">
        <v>0</v>
      </c>
      <c r="AD311" s="25">
        <v>0</v>
      </c>
      <c r="AE311" s="29">
        <v>0.4</v>
      </c>
      <c r="AF311" s="25">
        <v>10</v>
      </c>
      <c r="AG311" s="25">
        <v>0</v>
      </c>
      <c r="AH311" s="25">
        <v>0</v>
      </c>
      <c r="AI311" s="25">
        <v>0</v>
      </c>
      <c r="AJ311" s="25">
        <v>0</v>
      </c>
      <c r="AK311" s="29">
        <v>8.1</v>
      </c>
      <c r="AL311">
        <v>25</v>
      </c>
      <c r="AM311" t="s">
        <v>43</v>
      </c>
      <c r="AN311" t="s">
        <v>67</v>
      </c>
    </row>
    <row r="312" spans="1:40">
      <c r="A312" s="4" t="s">
        <v>553</v>
      </c>
      <c r="B312">
        <v>1988</v>
      </c>
      <c r="C312">
        <v>48</v>
      </c>
      <c r="D312">
        <v>17</v>
      </c>
      <c r="E312">
        <v>1</v>
      </c>
      <c r="F312">
        <v>13</v>
      </c>
      <c r="G312">
        <v>1</v>
      </c>
      <c r="H312">
        <v>0</v>
      </c>
      <c r="I312" t="s">
        <v>546</v>
      </c>
      <c r="J312" t="s">
        <v>547</v>
      </c>
      <c r="K312" t="s">
        <v>548</v>
      </c>
      <c r="L312" t="s">
        <v>549</v>
      </c>
      <c r="M312" t="str">
        <f t="shared" si="8"/>
        <v>Arabidopsis</v>
      </c>
      <c r="N312" s="7" t="s">
        <v>550</v>
      </c>
      <c r="O312" t="s">
        <v>43</v>
      </c>
      <c r="P312" t="str">
        <f t="shared" si="9"/>
        <v>Low</v>
      </c>
      <c r="Q312">
        <v>0</v>
      </c>
      <c r="R312" s="25">
        <v>800</v>
      </c>
      <c r="S312">
        <v>45</v>
      </c>
      <c r="T312" s="5" t="s">
        <v>554</v>
      </c>
      <c r="U312" s="1" t="s">
        <v>555</v>
      </c>
      <c r="V312" s="1" t="s">
        <v>47</v>
      </c>
      <c r="W312" s="25">
        <v>40</v>
      </c>
      <c r="X312" s="25">
        <v>0.5</v>
      </c>
      <c r="Y312" t="s">
        <v>201</v>
      </c>
      <c r="Z312" s="30">
        <v>100</v>
      </c>
      <c r="AA312" s="25">
        <v>10</v>
      </c>
      <c r="AB312" s="25">
        <v>0</v>
      </c>
      <c r="AC312" s="25">
        <v>0</v>
      </c>
      <c r="AD312" s="25">
        <v>0</v>
      </c>
      <c r="AE312" s="29">
        <v>0.4</v>
      </c>
      <c r="AF312" s="25">
        <v>10</v>
      </c>
      <c r="AG312" s="25">
        <v>0</v>
      </c>
      <c r="AH312" s="25">
        <v>0</v>
      </c>
      <c r="AI312" s="25">
        <v>0</v>
      </c>
      <c r="AJ312" s="25">
        <v>0</v>
      </c>
      <c r="AK312" s="29">
        <v>8.1</v>
      </c>
      <c r="AL312">
        <v>25</v>
      </c>
      <c r="AM312" t="s">
        <v>556</v>
      </c>
      <c r="AN312" t="s">
        <v>67</v>
      </c>
    </row>
    <row r="313" spans="1:40">
      <c r="A313" s="4" t="s">
        <v>222</v>
      </c>
      <c r="B313">
        <v>2013</v>
      </c>
      <c r="C313">
        <v>48</v>
      </c>
      <c r="D313">
        <v>17</v>
      </c>
      <c r="E313">
        <v>1</v>
      </c>
      <c r="F313">
        <v>13</v>
      </c>
      <c r="G313">
        <v>1</v>
      </c>
      <c r="H313">
        <v>0</v>
      </c>
      <c r="I313" t="s">
        <v>546</v>
      </c>
      <c r="J313" t="s">
        <v>547</v>
      </c>
      <c r="K313" t="s">
        <v>548</v>
      </c>
      <c r="L313" t="s">
        <v>549</v>
      </c>
      <c r="M313" t="str">
        <f t="shared" si="8"/>
        <v>Arabidopsis</v>
      </c>
      <c r="N313" s="7" t="s">
        <v>550</v>
      </c>
      <c r="O313" t="s">
        <v>551</v>
      </c>
      <c r="P313" t="str">
        <f t="shared" si="9"/>
        <v>Low</v>
      </c>
      <c r="Q313">
        <f>1-(0.83/0.87)</f>
        <v>4.5977011494252928E-2</v>
      </c>
      <c r="R313" s="25">
        <v>1000</v>
      </c>
      <c r="S313">
        <v>30</v>
      </c>
      <c r="T313" s="5" t="s">
        <v>224</v>
      </c>
      <c r="U313" s="1" t="s">
        <v>225</v>
      </c>
      <c r="V313" s="1" t="s">
        <v>47</v>
      </c>
      <c r="W313" s="25" t="s">
        <v>43</v>
      </c>
      <c r="X313" s="25">
        <v>0.5</v>
      </c>
      <c r="Y313" t="s">
        <v>201</v>
      </c>
      <c r="Z313" s="30">
        <v>100</v>
      </c>
      <c r="AA313" s="25">
        <v>10</v>
      </c>
      <c r="AB313" s="25">
        <v>0.4</v>
      </c>
      <c r="AC313" s="25">
        <v>0</v>
      </c>
      <c r="AD313" s="25">
        <v>0.08</v>
      </c>
      <c r="AE313" s="29">
        <v>0.4</v>
      </c>
      <c r="AF313" s="25">
        <v>10</v>
      </c>
      <c r="AG313" s="25">
        <v>0</v>
      </c>
      <c r="AH313" s="25">
        <v>0</v>
      </c>
      <c r="AI313" s="25">
        <v>0</v>
      </c>
      <c r="AJ313" s="25">
        <v>0</v>
      </c>
      <c r="AK313" s="29">
        <v>8</v>
      </c>
      <c r="AL313">
        <v>30</v>
      </c>
      <c r="AM313" t="s">
        <v>226</v>
      </c>
      <c r="AN313" t="s">
        <v>67</v>
      </c>
    </row>
    <row r="314" spans="1:40">
      <c r="A314" s="4" t="s">
        <v>222</v>
      </c>
      <c r="B314">
        <v>2013</v>
      </c>
      <c r="C314">
        <v>48</v>
      </c>
      <c r="D314">
        <v>17</v>
      </c>
      <c r="E314">
        <v>1</v>
      </c>
      <c r="F314">
        <v>16</v>
      </c>
      <c r="G314">
        <v>2</v>
      </c>
      <c r="H314">
        <v>0</v>
      </c>
      <c r="I314" t="s">
        <v>546</v>
      </c>
      <c r="J314" t="s">
        <v>547</v>
      </c>
      <c r="K314" t="s">
        <v>548</v>
      </c>
      <c r="L314" t="s">
        <v>557</v>
      </c>
      <c r="M314" t="str">
        <f t="shared" si="8"/>
        <v>Camelina</v>
      </c>
      <c r="N314" s="7" t="s">
        <v>558</v>
      </c>
      <c r="O314" t="s">
        <v>559</v>
      </c>
      <c r="P314" t="str">
        <f t="shared" si="9"/>
        <v>High</v>
      </c>
      <c r="Q314">
        <f>1-(0.35/0.79)</f>
        <v>0.55696202531645578</v>
      </c>
      <c r="R314" s="25">
        <v>1800</v>
      </c>
      <c r="S314">
        <v>30</v>
      </c>
      <c r="T314" s="5" t="s">
        <v>224</v>
      </c>
      <c r="U314" s="1" t="s">
        <v>225</v>
      </c>
      <c r="V314" s="1" t="s">
        <v>47</v>
      </c>
      <c r="W314" s="25" t="s">
        <v>43</v>
      </c>
      <c r="X314" s="25">
        <v>0.5</v>
      </c>
      <c r="Y314" t="s">
        <v>201</v>
      </c>
      <c r="Z314" s="30">
        <v>100</v>
      </c>
      <c r="AA314" s="25">
        <v>10</v>
      </c>
      <c r="AB314" s="25">
        <v>0.4</v>
      </c>
      <c r="AC314" s="25">
        <v>0</v>
      </c>
      <c r="AD314" s="25">
        <v>0.08</v>
      </c>
      <c r="AE314" s="29">
        <v>0.4</v>
      </c>
      <c r="AF314" s="25">
        <v>10</v>
      </c>
      <c r="AG314" s="25">
        <v>0</v>
      </c>
      <c r="AH314" s="25">
        <v>0</v>
      </c>
      <c r="AI314" s="25">
        <v>0</v>
      </c>
      <c r="AJ314" s="25">
        <v>0</v>
      </c>
      <c r="AK314" s="29">
        <v>8</v>
      </c>
      <c r="AL314">
        <v>30</v>
      </c>
      <c r="AM314" t="s">
        <v>226</v>
      </c>
      <c r="AN314" t="s">
        <v>67</v>
      </c>
    </row>
    <row r="315" spans="1:40">
      <c r="A315" s="4" t="s">
        <v>68</v>
      </c>
      <c r="B315">
        <v>1984</v>
      </c>
      <c r="C315">
        <v>48</v>
      </c>
      <c r="D315">
        <v>17</v>
      </c>
      <c r="E315">
        <v>1</v>
      </c>
      <c r="F315">
        <v>42</v>
      </c>
      <c r="G315">
        <v>44</v>
      </c>
      <c r="H315">
        <v>0</v>
      </c>
      <c r="I315" t="s">
        <v>546</v>
      </c>
      <c r="J315" t="s">
        <v>547</v>
      </c>
      <c r="K315" t="s">
        <v>548</v>
      </c>
      <c r="L315" t="s">
        <v>560</v>
      </c>
      <c r="M315" t="str">
        <f t="shared" si="8"/>
        <v>Moricandia</v>
      </c>
      <c r="N315" s="7" t="s">
        <v>561</v>
      </c>
      <c r="O315" t="s">
        <v>43</v>
      </c>
      <c r="P315" t="str">
        <f t="shared" si="9"/>
        <v>Low</v>
      </c>
      <c r="Q315">
        <v>6.2188099808061378E-2</v>
      </c>
      <c r="R315" s="27">
        <v>1000</v>
      </c>
      <c r="S315" s="6">
        <v>0</v>
      </c>
      <c r="T315" s="5" t="s">
        <v>74</v>
      </c>
      <c r="U315" t="s">
        <v>75</v>
      </c>
      <c r="V315" s="1" t="s">
        <v>47</v>
      </c>
      <c r="W315" s="25" t="s">
        <v>43</v>
      </c>
      <c r="X315" s="25">
        <v>0.75</v>
      </c>
      <c r="Y315" t="s">
        <v>76</v>
      </c>
      <c r="Z315" s="25">
        <v>50</v>
      </c>
      <c r="AA315" s="25">
        <v>10</v>
      </c>
      <c r="AB315" s="25">
        <v>5</v>
      </c>
      <c r="AC315" s="25">
        <v>0</v>
      </c>
      <c r="AD315" s="25">
        <v>0.1</v>
      </c>
      <c r="AE315" s="29">
        <v>0.5</v>
      </c>
      <c r="AF315" s="25">
        <v>20</v>
      </c>
      <c r="AG315" s="25">
        <v>0</v>
      </c>
      <c r="AH315" s="25">
        <v>0</v>
      </c>
      <c r="AI315" s="25">
        <v>0</v>
      </c>
      <c r="AJ315" s="25">
        <v>0</v>
      </c>
      <c r="AK315" s="29">
        <v>8.5</v>
      </c>
      <c r="AL315">
        <v>30</v>
      </c>
      <c r="AM315" t="s">
        <v>43</v>
      </c>
      <c r="AN315" t="s">
        <v>67</v>
      </c>
    </row>
    <row r="316" spans="1:40">
      <c r="A316" s="4" t="s">
        <v>562</v>
      </c>
      <c r="B316">
        <v>1991</v>
      </c>
      <c r="C316">
        <v>13</v>
      </c>
      <c r="D316">
        <v>13</v>
      </c>
      <c r="E316">
        <v>8</v>
      </c>
      <c r="F316">
        <v>0</v>
      </c>
      <c r="G316">
        <v>22</v>
      </c>
      <c r="H316">
        <v>0</v>
      </c>
      <c r="I316" t="s">
        <v>69</v>
      </c>
      <c r="J316" t="s">
        <v>78</v>
      </c>
      <c r="K316" t="s">
        <v>79</v>
      </c>
      <c r="L316" t="s">
        <v>80</v>
      </c>
      <c r="M316" t="str">
        <f t="shared" si="8"/>
        <v>Alocasia</v>
      </c>
      <c r="N316" s="7" t="s">
        <v>81</v>
      </c>
      <c r="O316" t="s">
        <v>86</v>
      </c>
      <c r="P316" t="str">
        <f t="shared" si="9"/>
        <v>Moderate</v>
      </c>
      <c r="Q316">
        <v>0.27400000000000002</v>
      </c>
      <c r="R316" s="25">
        <v>550</v>
      </c>
      <c r="S316">
        <v>0</v>
      </c>
      <c r="T316" s="5" t="s">
        <v>563</v>
      </c>
      <c r="U316" s="1" t="s">
        <v>564</v>
      </c>
      <c r="V316" s="1" t="s">
        <v>565</v>
      </c>
      <c r="W316" s="25" t="s">
        <v>43</v>
      </c>
      <c r="X316" s="25">
        <v>0.75</v>
      </c>
      <c r="Y316" t="s">
        <v>48</v>
      </c>
      <c r="Z316" s="25">
        <v>100</v>
      </c>
      <c r="AA316" s="25">
        <v>20</v>
      </c>
      <c r="AB316" s="25">
        <v>5</v>
      </c>
      <c r="AC316" s="25">
        <v>0</v>
      </c>
      <c r="AD316" s="25">
        <v>0</v>
      </c>
      <c r="AE316" s="29">
        <v>1.5</v>
      </c>
      <c r="AF316" s="25">
        <v>10</v>
      </c>
      <c r="AG316" s="25">
        <v>0</v>
      </c>
      <c r="AH316" s="25">
        <v>0</v>
      </c>
      <c r="AI316" s="25">
        <v>0</v>
      </c>
      <c r="AJ316" s="25">
        <v>0</v>
      </c>
      <c r="AK316" s="29">
        <v>8.1999999999999993</v>
      </c>
      <c r="AL316" t="s">
        <v>43</v>
      </c>
      <c r="AM316" t="s">
        <v>43</v>
      </c>
      <c r="AN316" t="s">
        <v>209</v>
      </c>
    </row>
    <row r="317" spans="1:40">
      <c r="A317" s="4" t="s">
        <v>562</v>
      </c>
      <c r="B317">
        <v>1991</v>
      </c>
      <c r="C317">
        <v>20</v>
      </c>
      <c r="D317">
        <v>14</v>
      </c>
      <c r="E317">
        <v>6</v>
      </c>
      <c r="F317">
        <v>4</v>
      </c>
      <c r="G317">
        <v>22</v>
      </c>
      <c r="H317">
        <v>0</v>
      </c>
      <c r="I317" t="s">
        <v>100</v>
      </c>
      <c r="J317" t="s">
        <v>118</v>
      </c>
      <c r="K317" t="s">
        <v>138</v>
      </c>
      <c r="L317" t="s">
        <v>139</v>
      </c>
      <c r="M317" t="str">
        <f t="shared" si="8"/>
        <v>Triticum</v>
      </c>
      <c r="N317" s="7" t="s">
        <v>141</v>
      </c>
      <c r="O317" t="s">
        <v>566</v>
      </c>
      <c r="P317" t="str">
        <f t="shared" si="9"/>
        <v>Low</v>
      </c>
      <c r="Q317">
        <v>6.9000000000000006E-2</v>
      </c>
      <c r="R317" s="25">
        <v>1300</v>
      </c>
      <c r="S317">
        <v>0</v>
      </c>
      <c r="T317" s="5" t="s">
        <v>563</v>
      </c>
      <c r="U317" s="1" t="s">
        <v>564</v>
      </c>
      <c r="V317" s="1" t="s">
        <v>565</v>
      </c>
      <c r="W317" s="25" t="s">
        <v>43</v>
      </c>
      <c r="X317" s="25">
        <v>0.75</v>
      </c>
      <c r="Y317" t="s">
        <v>48</v>
      </c>
      <c r="Z317" s="25">
        <v>100</v>
      </c>
      <c r="AA317" s="25">
        <v>20</v>
      </c>
      <c r="AB317" s="25">
        <v>5</v>
      </c>
      <c r="AC317" s="25">
        <v>0</v>
      </c>
      <c r="AD317" s="25">
        <v>0</v>
      </c>
      <c r="AE317" s="29">
        <v>1.5</v>
      </c>
      <c r="AF317" s="25">
        <v>10</v>
      </c>
      <c r="AG317" s="25">
        <v>0</v>
      </c>
      <c r="AH317" s="25">
        <v>0</v>
      </c>
      <c r="AI317" s="25">
        <v>0</v>
      </c>
      <c r="AJ317" s="25">
        <v>0</v>
      </c>
      <c r="AK317" s="29">
        <v>8.1999999999999993</v>
      </c>
      <c r="AL317" t="s">
        <v>43</v>
      </c>
      <c r="AM317" t="s">
        <v>43</v>
      </c>
      <c r="AN317" t="s">
        <v>209</v>
      </c>
    </row>
    <row r="318" spans="1:40">
      <c r="A318" s="4" t="s">
        <v>562</v>
      </c>
      <c r="B318">
        <v>1991</v>
      </c>
      <c r="C318">
        <v>20</v>
      </c>
      <c r="D318">
        <v>14</v>
      </c>
      <c r="E318">
        <v>12</v>
      </c>
      <c r="F318">
        <v>3</v>
      </c>
      <c r="G318">
        <v>21</v>
      </c>
      <c r="H318">
        <v>0</v>
      </c>
      <c r="I318" t="s">
        <v>100</v>
      </c>
      <c r="J318" t="s">
        <v>118</v>
      </c>
      <c r="K318" t="s">
        <v>154</v>
      </c>
      <c r="L318" t="s">
        <v>155</v>
      </c>
      <c r="M318" t="str">
        <f t="shared" si="8"/>
        <v>Megathyrsus</v>
      </c>
      <c r="N318" s="7" t="s">
        <v>161</v>
      </c>
      <c r="O318" t="s">
        <v>567</v>
      </c>
      <c r="P318" t="str">
        <f t="shared" si="9"/>
        <v>Moderate</v>
      </c>
      <c r="Q318">
        <v>0.44400000000000001</v>
      </c>
      <c r="R318" s="25">
        <v>1300</v>
      </c>
      <c r="S318">
        <v>0</v>
      </c>
      <c r="T318" s="5" t="s">
        <v>563</v>
      </c>
      <c r="U318" s="1" t="s">
        <v>564</v>
      </c>
      <c r="V318" s="1" t="s">
        <v>565</v>
      </c>
      <c r="W318" s="25" t="s">
        <v>43</v>
      </c>
      <c r="X318" s="25">
        <v>0.75</v>
      </c>
      <c r="Y318" t="s">
        <v>48</v>
      </c>
      <c r="Z318" s="25">
        <v>100</v>
      </c>
      <c r="AA318" s="25">
        <v>20</v>
      </c>
      <c r="AB318" s="25">
        <v>5</v>
      </c>
      <c r="AC318" s="25">
        <v>0</v>
      </c>
      <c r="AD318" s="25">
        <v>0</v>
      </c>
      <c r="AE318" s="29">
        <v>1.5</v>
      </c>
      <c r="AF318" s="25">
        <v>10</v>
      </c>
      <c r="AG318" s="25">
        <v>0</v>
      </c>
      <c r="AH318" s="25">
        <v>0</v>
      </c>
      <c r="AI318" s="25">
        <v>0</v>
      </c>
      <c r="AJ318" s="25">
        <v>0</v>
      </c>
      <c r="AK318" s="29">
        <v>8.1999999999999993</v>
      </c>
      <c r="AL318" t="s">
        <v>43</v>
      </c>
      <c r="AM318" t="s">
        <v>43</v>
      </c>
      <c r="AN318" t="s">
        <v>209</v>
      </c>
    </row>
    <row r="319" spans="1:40">
      <c r="A319" s="4" t="s">
        <v>562</v>
      </c>
      <c r="B319">
        <v>1991</v>
      </c>
      <c r="C319">
        <v>20</v>
      </c>
      <c r="D319">
        <v>14</v>
      </c>
      <c r="E319">
        <v>12</v>
      </c>
      <c r="F319">
        <v>6</v>
      </c>
      <c r="G319">
        <v>7</v>
      </c>
      <c r="H319">
        <v>0</v>
      </c>
      <c r="I319" t="s">
        <v>100</v>
      </c>
      <c r="J319" t="s">
        <v>118</v>
      </c>
      <c r="K319" t="s">
        <v>154</v>
      </c>
      <c r="L319" t="s">
        <v>169</v>
      </c>
      <c r="M319" t="str">
        <f t="shared" si="8"/>
        <v>Zea</v>
      </c>
      <c r="N319" s="7" t="s">
        <v>170</v>
      </c>
      <c r="O319" t="s">
        <v>568</v>
      </c>
      <c r="P319" t="str">
        <f t="shared" si="9"/>
        <v>Moderate</v>
      </c>
      <c r="Q319">
        <v>0.19700000000000001</v>
      </c>
      <c r="R319" s="25">
        <v>1300</v>
      </c>
      <c r="S319">
        <v>0</v>
      </c>
      <c r="T319" s="5" t="s">
        <v>563</v>
      </c>
      <c r="U319" s="1" t="s">
        <v>564</v>
      </c>
      <c r="V319" s="1" t="s">
        <v>565</v>
      </c>
      <c r="W319" s="25" t="s">
        <v>43</v>
      </c>
      <c r="X319" s="25">
        <v>0.75</v>
      </c>
      <c r="Y319" t="s">
        <v>48</v>
      </c>
      <c r="Z319" s="25">
        <v>100</v>
      </c>
      <c r="AA319" s="25">
        <v>20</v>
      </c>
      <c r="AB319" s="25">
        <v>5</v>
      </c>
      <c r="AC319" s="25">
        <v>0</v>
      </c>
      <c r="AD319" s="25">
        <v>0</v>
      </c>
      <c r="AE319" s="29">
        <v>1.5</v>
      </c>
      <c r="AF319" s="25">
        <v>10</v>
      </c>
      <c r="AG319" s="25">
        <v>0</v>
      </c>
      <c r="AH319" s="25">
        <v>0</v>
      </c>
      <c r="AI319" s="25">
        <v>0</v>
      </c>
      <c r="AJ319" s="25">
        <v>0</v>
      </c>
      <c r="AK319" s="29">
        <v>8.1999999999999993</v>
      </c>
      <c r="AL319" t="s">
        <v>43</v>
      </c>
      <c r="AM319" t="s">
        <v>43</v>
      </c>
      <c r="AN319" t="s">
        <v>209</v>
      </c>
    </row>
    <row r="320" spans="1:40">
      <c r="A320" s="4" t="s">
        <v>562</v>
      </c>
      <c r="B320">
        <v>1991</v>
      </c>
      <c r="C320">
        <v>29</v>
      </c>
      <c r="D320">
        <v>10</v>
      </c>
      <c r="E320">
        <v>12</v>
      </c>
      <c r="F320">
        <v>6</v>
      </c>
      <c r="G320">
        <v>37</v>
      </c>
      <c r="H320">
        <v>0</v>
      </c>
      <c r="I320" t="s">
        <v>176</v>
      </c>
      <c r="J320" t="s">
        <v>177</v>
      </c>
      <c r="K320" t="s">
        <v>182</v>
      </c>
      <c r="L320" t="s">
        <v>183</v>
      </c>
      <c r="M320" t="str">
        <f t="shared" si="8"/>
        <v>Helianthus</v>
      </c>
      <c r="N320" s="7" t="s">
        <v>186</v>
      </c>
      <c r="O320" t="s">
        <v>43</v>
      </c>
      <c r="P320" t="str">
        <f t="shared" si="9"/>
        <v>Moderate</v>
      </c>
      <c r="Q320">
        <v>0.25600000000000001</v>
      </c>
      <c r="R320" s="25">
        <v>1300</v>
      </c>
      <c r="S320">
        <v>0</v>
      </c>
      <c r="T320" s="5" t="s">
        <v>563</v>
      </c>
      <c r="U320" s="1" t="s">
        <v>564</v>
      </c>
      <c r="V320" s="1" t="s">
        <v>565</v>
      </c>
      <c r="W320" s="25" t="s">
        <v>43</v>
      </c>
      <c r="X320" s="25">
        <v>0.75</v>
      </c>
      <c r="Y320" t="s">
        <v>48</v>
      </c>
      <c r="Z320" s="25">
        <v>100</v>
      </c>
      <c r="AA320" s="25">
        <v>20</v>
      </c>
      <c r="AB320" s="25">
        <v>5</v>
      </c>
      <c r="AC320" s="25">
        <v>0</v>
      </c>
      <c r="AD320" s="25">
        <v>0</v>
      </c>
      <c r="AE320" s="29">
        <v>1.5</v>
      </c>
      <c r="AF320" s="25">
        <v>10</v>
      </c>
      <c r="AG320" s="25">
        <v>0</v>
      </c>
      <c r="AH320" s="25">
        <v>0</v>
      </c>
      <c r="AI320" s="25">
        <v>0</v>
      </c>
      <c r="AJ320" s="25">
        <v>0</v>
      </c>
      <c r="AK320" s="29">
        <v>8.1999999999999993</v>
      </c>
      <c r="AL320" t="s">
        <v>43</v>
      </c>
      <c r="AM320" t="s">
        <v>43</v>
      </c>
      <c r="AN320" t="s">
        <v>209</v>
      </c>
    </row>
    <row r="321" spans="1:40">
      <c r="A321" s="4" t="s">
        <v>562</v>
      </c>
      <c r="B321">
        <v>1991</v>
      </c>
      <c r="C321">
        <v>29</v>
      </c>
      <c r="D321">
        <v>10</v>
      </c>
      <c r="E321">
        <v>12</v>
      </c>
      <c r="F321">
        <v>10</v>
      </c>
      <c r="G321">
        <v>8</v>
      </c>
      <c r="H321">
        <v>0</v>
      </c>
      <c r="I321" t="s">
        <v>176</v>
      </c>
      <c r="J321" t="s">
        <v>177</v>
      </c>
      <c r="K321" t="s">
        <v>182</v>
      </c>
      <c r="L321" t="s">
        <v>188</v>
      </c>
      <c r="M321" t="str">
        <f t="shared" si="8"/>
        <v>Flaveria</v>
      </c>
      <c r="N321" s="7" t="s">
        <v>569</v>
      </c>
      <c r="O321" t="s">
        <v>570</v>
      </c>
      <c r="P321" t="str">
        <f t="shared" si="9"/>
        <v>Low</v>
      </c>
      <c r="Q321">
        <v>4.5999999999999999E-2</v>
      </c>
      <c r="R321" s="25">
        <v>1300</v>
      </c>
      <c r="S321">
        <v>0</v>
      </c>
      <c r="T321" s="5" t="s">
        <v>563</v>
      </c>
      <c r="U321" s="1" t="s">
        <v>564</v>
      </c>
      <c r="V321" s="1" t="s">
        <v>565</v>
      </c>
      <c r="W321" s="25" t="s">
        <v>43</v>
      </c>
      <c r="X321" s="25">
        <v>0.75</v>
      </c>
      <c r="Y321" t="s">
        <v>48</v>
      </c>
      <c r="Z321" s="25">
        <v>100</v>
      </c>
      <c r="AA321" s="25">
        <v>20</v>
      </c>
      <c r="AB321" s="25">
        <v>5</v>
      </c>
      <c r="AC321" s="25">
        <v>0</v>
      </c>
      <c r="AD321" s="25">
        <v>0</v>
      </c>
      <c r="AE321" s="29">
        <v>1.5</v>
      </c>
      <c r="AF321" s="25">
        <v>10</v>
      </c>
      <c r="AG321" s="25">
        <v>0</v>
      </c>
      <c r="AH321" s="25">
        <v>0</v>
      </c>
      <c r="AI321" s="25">
        <v>0</v>
      </c>
      <c r="AJ321" s="25">
        <v>0</v>
      </c>
      <c r="AK321" s="29">
        <v>8.1999999999999993</v>
      </c>
      <c r="AL321" t="s">
        <v>43</v>
      </c>
      <c r="AM321" t="s">
        <v>43</v>
      </c>
      <c r="AN321" t="s">
        <v>209</v>
      </c>
    </row>
    <row r="322" spans="1:40">
      <c r="A322" s="4" t="s">
        <v>562</v>
      </c>
      <c r="B322">
        <v>1991</v>
      </c>
      <c r="C322">
        <v>32</v>
      </c>
      <c r="D322">
        <v>4</v>
      </c>
      <c r="E322">
        <v>6</v>
      </c>
      <c r="F322">
        <v>1</v>
      </c>
      <c r="G322">
        <v>1</v>
      </c>
      <c r="H322">
        <v>0</v>
      </c>
      <c r="I322" t="s">
        <v>190</v>
      </c>
      <c r="J322" t="s">
        <v>191</v>
      </c>
      <c r="K322" t="s">
        <v>192</v>
      </c>
      <c r="L322" t="s">
        <v>193</v>
      </c>
      <c r="M322" t="str">
        <f t="shared" ref="M322:M334" si="10">LEFT(N322,FIND(" ",N322)-1)</f>
        <v>Petunia</v>
      </c>
      <c r="N322" s="7" t="s">
        <v>194</v>
      </c>
      <c r="O322" t="s">
        <v>571</v>
      </c>
      <c r="P322" t="str">
        <f t="shared" ref="P322:P334" si="11">IF(Q322&lt;0.17,"Low",IF(Q322&lt;0.48,"Moderate",IF(Q322&lt;0.77,"High", "Very High")))</f>
        <v>Very High</v>
      </c>
      <c r="Q322">
        <v>1</v>
      </c>
      <c r="R322" s="25">
        <v>1300</v>
      </c>
      <c r="S322">
        <v>0</v>
      </c>
      <c r="T322" s="5" t="s">
        <v>563</v>
      </c>
      <c r="U322" s="1" t="s">
        <v>564</v>
      </c>
      <c r="V322" s="1" t="s">
        <v>565</v>
      </c>
      <c r="W322" s="25" t="s">
        <v>43</v>
      </c>
      <c r="X322" s="25">
        <v>0.75</v>
      </c>
      <c r="Y322" t="s">
        <v>48</v>
      </c>
      <c r="Z322" s="25">
        <v>100</v>
      </c>
      <c r="AA322" s="25">
        <v>20</v>
      </c>
      <c r="AB322" s="25">
        <v>5</v>
      </c>
      <c r="AC322" s="25">
        <v>0</v>
      </c>
      <c r="AD322" s="25">
        <v>0</v>
      </c>
      <c r="AE322" s="29">
        <v>1.5</v>
      </c>
      <c r="AF322" s="25">
        <v>10</v>
      </c>
      <c r="AG322" s="25">
        <v>0</v>
      </c>
      <c r="AH322" s="25">
        <v>0</v>
      </c>
      <c r="AI322" s="25">
        <v>0</v>
      </c>
      <c r="AJ322" s="25">
        <v>0</v>
      </c>
      <c r="AK322" s="29">
        <v>8.1999999999999993</v>
      </c>
      <c r="AL322" t="s">
        <v>43</v>
      </c>
      <c r="AM322" t="s">
        <v>43</v>
      </c>
      <c r="AN322" t="s">
        <v>209</v>
      </c>
    </row>
    <row r="323" spans="1:40">
      <c r="A323" s="4" t="s">
        <v>562</v>
      </c>
      <c r="B323">
        <v>1991</v>
      </c>
      <c r="C323">
        <v>32</v>
      </c>
      <c r="D323">
        <v>4</v>
      </c>
      <c r="E323">
        <v>8</v>
      </c>
      <c r="F323">
        <v>12</v>
      </c>
      <c r="G323">
        <v>2</v>
      </c>
      <c r="H323">
        <v>3</v>
      </c>
      <c r="I323" t="s">
        <v>190</v>
      </c>
      <c r="J323" t="s">
        <v>191</v>
      </c>
      <c r="K323" t="s">
        <v>227</v>
      </c>
      <c r="L323" t="s">
        <v>232</v>
      </c>
      <c r="M323" t="str">
        <f t="shared" si="10"/>
        <v>Solanum</v>
      </c>
      <c r="N323" s="7" t="s">
        <v>235</v>
      </c>
      <c r="O323" t="s">
        <v>572</v>
      </c>
      <c r="P323" t="str">
        <f t="shared" si="11"/>
        <v>High</v>
      </c>
      <c r="Q323">
        <v>0.75</v>
      </c>
      <c r="R323" s="25">
        <v>1300</v>
      </c>
      <c r="S323">
        <v>0</v>
      </c>
      <c r="T323" s="5" t="s">
        <v>563</v>
      </c>
      <c r="U323" s="1" t="s">
        <v>564</v>
      </c>
      <c r="V323" s="1" t="s">
        <v>565</v>
      </c>
      <c r="W323" s="25" t="s">
        <v>43</v>
      </c>
      <c r="X323" s="25">
        <v>0.75</v>
      </c>
      <c r="Y323" t="s">
        <v>48</v>
      </c>
      <c r="Z323" s="25">
        <v>100</v>
      </c>
      <c r="AA323" s="25">
        <v>20</v>
      </c>
      <c r="AB323" s="25">
        <v>5</v>
      </c>
      <c r="AC323" s="25">
        <v>0</v>
      </c>
      <c r="AD323" s="25">
        <v>0</v>
      </c>
      <c r="AE323" s="29">
        <v>1.5</v>
      </c>
      <c r="AF323" s="25">
        <v>10</v>
      </c>
      <c r="AG323" s="25">
        <v>0</v>
      </c>
      <c r="AH323" s="25">
        <v>0</v>
      </c>
      <c r="AI323" s="25">
        <v>0</v>
      </c>
      <c r="AJ323" s="25">
        <v>0</v>
      </c>
      <c r="AK323" s="29">
        <v>8.1999999999999993</v>
      </c>
      <c r="AL323" t="s">
        <v>43</v>
      </c>
      <c r="AM323" t="s">
        <v>43</v>
      </c>
      <c r="AN323" t="s">
        <v>209</v>
      </c>
    </row>
    <row r="324" spans="1:40">
      <c r="A324" s="4" t="s">
        <v>562</v>
      </c>
      <c r="B324">
        <v>1991</v>
      </c>
      <c r="C324">
        <v>34</v>
      </c>
      <c r="D324">
        <v>11</v>
      </c>
      <c r="E324">
        <v>5</v>
      </c>
      <c r="F324">
        <v>1</v>
      </c>
      <c r="G324">
        <v>1</v>
      </c>
      <c r="H324">
        <v>0</v>
      </c>
      <c r="I324" t="s">
        <v>240</v>
      </c>
      <c r="J324" t="s">
        <v>241</v>
      </c>
      <c r="K324" t="s">
        <v>245</v>
      </c>
      <c r="L324" t="s">
        <v>246</v>
      </c>
      <c r="M324" t="str">
        <f t="shared" si="10"/>
        <v>Beta</v>
      </c>
      <c r="N324" s="7" t="s">
        <v>247</v>
      </c>
      <c r="O324" t="s">
        <v>251</v>
      </c>
      <c r="P324" t="str">
        <f t="shared" si="11"/>
        <v>High</v>
      </c>
      <c r="Q324">
        <v>0.68300000000000005</v>
      </c>
      <c r="R324" s="25">
        <v>1300</v>
      </c>
      <c r="S324">
        <v>0</v>
      </c>
      <c r="T324" s="5" t="s">
        <v>563</v>
      </c>
      <c r="U324" s="1" t="s">
        <v>564</v>
      </c>
      <c r="V324" s="1" t="s">
        <v>565</v>
      </c>
      <c r="W324" s="25" t="s">
        <v>43</v>
      </c>
      <c r="X324" s="25">
        <v>0.75</v>
      </c>
      <c r="Y324" t="s">
        <v>48</v>
      </c>
      <c r="Z324" s="25">
        <v>100</v>
      </c>
      <c r="AA324" s="25">
        <v>20</v>
      </c>
      <c r="AB324" s="25">
        <v>5</v>
      </c>
      <c r="AC324" s="25">
        <v>0</v>
      </c>
      <c r="AD324" s="25">
        <v>0</v>
      </c>
      <c r="AE324" s="29">
        <v>1.5</v>
      </c>
      <c r="AF324" s="25">
        <v>10</v>
      </c>
      <c r="AG324" s="25">
        <v>0</v>
      </c>
      <c r="AH324" s="25">
        <v>0</v>
      </c>
      <c r="AI324" s="25">
        <v>0</v>
      </c>
      <c r="AJ324" s="25">
        <v>0</v>
      </c>
      <c r="AK324" s="29">
        <v>8.1999999999999993</v>
      </c>
      <c r="AL324" t="s">
        <v>43</v>
      </c>
      <c r="AM324" t="s">
        <v>43</v>
      </c>
      <c r="AN324" t="s">
        <v>209</v>
      </c>
    </row>
    <row r="325" spans="1:40">
      <c r="A325" s="4" t="s">
        <v>562</v>
      </c>
      <c r="B325">
        <v>1991</v>
      </c>
      <c r="C325">
        <v>34</v>
      </c>
      <c r="D325">
        <v>11</v>
      </c>
      <c r="E325">
        <v>7</v>
      </c>
      <c r="F325">
        <v>1</v>
      </c>
      <c r="G325">
        <v>1</v>
      </c>
      <c r="H325">
        <v>0</v>
      </c>
      <c r="I325" t="s">
        <v>240</v>
      </c>
      <c r="J325" t="s">
        <v>241</v>
      </c>
      <c r="K325" t="s">
        <v>258</v>
      </c>
      <c r="L325" t="s">
        <v>259</v>
      </c>
      <c r="M325" t="str">
        <f t="shared" si="10"/>
        <v>Spinacia</v>
      </c>
      <c r="N325" s="7" t="s">
        <v>260</v>
      </c>
      <c r="O325" t="s">
        <v>261</v>
      </c>
      <c r="P325" t="str">
        <f t="shared" si="11"/>
        <v>Low</v>
      </c>
      <c r="Q325">
        <v>2.5000000000000001E-2</v>
      </c>
      <c r="R325" s="25">
        <v>1300</v>
      </c>
      <c r="S325">
        <v>0</v>
      </c>
      <c r="T325" s="5" t="s">
        <v>563</v>
      </c>
      <c r="U325" s="1" t="s">
        <v>564</v>
      </c>
      <c r="V325" s="1" t="s">
        <v>565</v>
      </c>
      <c r="W325" s="25" t="s">
        <v>43</v>
      </c>
      <c r="X325" s="25">
        <v>0.75</v>
      </c>
      <c r="Y325" t="s">
        <v>48</v>
      </c>
      <c r="Z325" s="25">
        <v>100</v>
      </c>
      <c r="AA325" s="25">
        <v>20</v>
      </c>
      <c r="AB325" s="25">
        <v>5</v>
      </c>
      <c r="AC325" s="25">
        <v>0</v>
      </c>
      <c r="AD325" s="25">
        <v>0</v>
      </c>
      <c r="AE325" s="29">
        <v>1.5</v>
      </c>
      <c r="AF325" s="25">
        <v>10</v>
      </c>
      <c r="AG325" s="25">
        <v>0</v>
      </c>
      <c r="AH325" s="25">
        <v>0</v>
      </c>
      <c r="AI325" s="25">
        <v>0</v>
      </c>
      <c r="AJ325" s="25">
        <v>0</v>
      </c>
      <c r="AK325" s="29">
        <v>8.1999999999999993</v>
      </c>
      <c r="AL325" t="s">
        <v>43</v>
      </c>
      <c r="AM325" t="s">
        <v>43</v>
      </c>
      <c r="AN325" t="s">
        <v>209</v>
      </c>
    </row>
    <row r="326" spans="1:40">
      <c r="A326" s="4" t="s">
        <v>562</v>
      </c>
      <c r="B326">
        <v>1991</v>
      </c>
      <c r="C326">
        <v>43</v>
      </c>
      <c r="D326">
        <v>4</v>
      </c>
      <c r="E326">
        <v>6</v>
      </c>
      <c r="F326">
        <v>44</v>
      </c>
      <c r="G326">
        <v>62</v>
      </c>
      <c r="H326">
        <v>10</v>
      </c>
      <c r="I326" t="s">
        <v>316</v>
      </c>
      <c r="J326" t="s">
        <v>317</v>
      </c>
      <c r="K326" t="s">
        <v>334</v>
      </c>
      <c r="L326" t="s">
        <v>438</v>
      </c>
      <c r="M326" t="str">
        <f t="shared" si="10"/>
        <v>Phaseolus</v>
      </c>
      <c r="N326" s="7" t="s">
        <v>503</v>
      </c>
      <c r="O326" t="s">
        <v>508</v>
      </c>
      <c r="P326" t="str">
        <f t="shared" si="11"/>
        <v>Very High</v>
      </c>
      <c r="Q326">
        <v>1</v>
      </c>
      <c r="R326" s="25">
        <v>1300</v>
      </c>
      <c r="S326">
        <v>0</v>
      </c>
      <c r="T326" s="5" t="s">
        <v>563</v>
      </c>
      <c r="U326" s="1" t="s">
        <v>564</v>
      </c>
      <c r="V326" s="1" t="s">
        <v>565</v>
      </c>
      <c r="W326" s="25" t="s">
        <v>43</v>
      </c>
      <c r="X326" s="25">
        <v>0.75</v>
      </c>
      <c r="Y326" t="s">
        <v>48</v>
      </c>
      <c r="Z326" s="25">
        <v>100</v>
      </c>
      <c r="AA326" s="25">
        <v>20</v>
      </c>
      <c r="AB326" s="25">
        <v>5</v>
      </c>
      <c r="AC326" s="25">
        <v>0</v>
      </c>
      <c r="AD326" s="25">
        <v>0</v>
      </c>
      <c r="AE326" s="29">
        <v>1.5</v>
      </c>
      <c r="AF326" s="25">
        <v>10</v>
      </c>
      <c r="AG326" s="25">
        <v>0</v>
      </c>
      <c r="AH326" s="25">
        <v>0</v>
      </c>
      <c r="AI326" s="25">
        <v>0</v>
      </c>
      <c r="AJ326" s="25">
        <v>0</v>
      </c>
      <c r="AK326" s="29">
        <v>8.1999999999999993</v>
      </c>
      <c r="AL326" t="s">
        <v>43</v>
      </c>
      <c r="AM326" t="s">
        <v>43</v>
      </c>
      <c r="AN326" t="s">
        <v>209</v>
      </c>
    </row>
    <row r="327" spans="1:40">
      <c r="A327" s="4" t="s">
        <v>562</v>
      </c>
      <c r="B327">
        <v>1991</v>
      </c>
      <c r="C327">
        <v>48</v>
      </c>
      <c r="D327">
        <v>17</v>
      </c>
      <c r="E327">
        <v>1</v>
      </c>
      <c r="F327">
        <v>13</v>
      </c>
      <c r="G327">
        <v>1</v>
      </c>
      <c r="H327">
        <v>0</v>
      </c>
      <c r="I327" t="s">
        <v>546</v>
      </c>
      <c r="J327" t="s">
        <v>547</v>
      </c>
      <c r="K327" t="s">
        <v>548</v>
      </c>
      <c r="L327" t="s">
        <v>549</v>
      </c>
      <c r="M327" t="str">
        <f t="shared" si="10"/>
        <v>Arabidopsis</v>
      </c>
      <c r="N327" s="7" t="s">
        <v>550</v>
      </c>
      <c r="O327" t="s">
        <v>573</v>
      </c>
      <c r="P327" t="str">
        <f t="shared" si="11"/>
        <v>Low</v>
      </c>
      <c r="Q327">
        <v>8.8999999999999996E-2</v>
      </c>
      <c r="R327" s="25">
        <v>1300</v>
      </c>
      <c r="S327">
        <v>0</v>
      </c>
      <c r="T327" s="5" t="s">
        <v>563</v>
      </c>
      <c r="U327" s="1" t="s">
        <v>564</v>
      </c>
      <c r="V327" s="1" t="s">
        <v>565</v>
      </c>
      <c r="W327" s="25" t="s">
        <v>43</v>
      </c>
      <c r="X327" s="25">
        <v>0.75</v>
      </c>
      <c r="Y327" t="s">
        <v>48</v>
      </c>
      <c r="Z327" s="25">
        <v>100</v>
      </c>
      <c r="AA327" s="25">
        <v>20</v>
      </c>
      <c r="AB327" s="25">
        <v>5</v>
      </c>
      <c r="AC327" s="25">
        <v>0</v>
      </c>
      <c r="AD327" s="25">
        <v>0</v>
      </c>
      <c r="AE327" s="29">
        <v>1.5</v>
      </c>
      <c r="AF327" s="25">
        <v>10</v>
      </c>
      <c r="AG327" s="25">
        <v>0</v>
      </c>
      <c r="AH327" s="25">
        <v>0</v>
      </c>
      <c r="AI327" s="25">
        <v>0</v>
      </c>
      <c r="AJ327" s="25">
        <v>0</v>
      </c>
      <c r="AK327" s="29">
        <v>8.1999999999999993</v>
      </c>
      <c r="AL327" t="s">
        <v>43</v>
      </c>
      <c r="AM327" t="s">
        <v>43</v>
      </c>
      <c r="AN327" t="s">
        <v>209</v>
      </c>
    </row>
    <row r="328" spans="1:40">
      <c r="A328" s="4" t="s">
        <v>574</v>
      </c>
      <c r="B328">
        <v>2011</v>
      </c>
      <c r="C328">
        <v>-2</v>
      </c>
      <c r="D328">
        <v>1</v>
      </c>
      <c r="E328">
        <v>0</v>
      </c>
      <c r="F328">
        <v>0</v>
      </c>
      <c r="G328">
        <v>1</v>
      </c>
      <c r="H328">
        <v>0</v>
      </c>
      <c r="I328" t="s">
        <v>575</v>
      </c>
      <c r="J328" t="s">
        <v>576</v>
      </c>
      <c r="K328" t="s">
        <v>43</v>
      </c>
      <c r="L328" t="s">
        <v>43</v>
      </c>
      <c r="M328" t="str">
        <f t="shared" si="10"/>
        <v>Thalassiosira</v>
      </c>
      <c r="N328" s="7" t="s">
        <v>577</v>
      </c>
      <c r="O328" t="s">
        <v>43</v>
      </c>
      <c r="P328" t="str">
        <f t="shared" si="11"/>
        <v>Low</v>
      </c>
      <c r="Q328">
        <f>1-(4.778/4.982)</f>
        <v>4.0947410678442542E-2</v>
      </c>
      <c r="R328" s="25">
        <v>235</v>
      </c>
      <c r="S328">
        <v>0</v>
      </c>
      <c r="T328" s="5" t="s">
        <v>578</v>
      </c>
      <c r="U328" s="1" t="s">
        <v>579</v>
      </c>
      <c r="V328" s="1" t="s">
        <v>580</v>
      </c>
      <c r="W328" s="25">
        <v>10</v>
      </c>
      <c r="X328" s="25" t="s">
        <v>43</v>
      </c>
      <c r="Y328" t="s">
        <v>65</v>
      </c>
      <c r="Z328" s="25">
        <v>50</v>
      </c>
      <c r="AA328" s="25">
        <v>20</v>
      </c>
      <c r="AB328" s="25">
        <v>5</v>
      </c>
      <c r="AC328" s="25">
        <v>0</v>
      </c>
      <c r="AD328" s="25">
        <v>0.2</v>
      </c>
      <c r="AE328" s="29" t="s">
        <v>43</v>
      </c>
      <c r="AF328" s="25" t="s">
        <v>43</v>
      </c>
      <c r="AG328" s="25">
        <v>25</v>
      </c>
      <c r="AH328" s="25">
        <v>3</v>
      </c>
      <c r="AI328" s="25">
        <v>5</v>
      </c>
      <c r="AJ328" s="25">
        <v>0.2</v>
      </c>
      <c r="AK328" s="29">
        <v>8</v>
      </c>
      <c r="AL328">
        <v>20</v>
      </c>
      <c r="AM328" t="s">
        <v>581</v>
      </c>
      <c r="AN328" t="s">
        <v>582</v>
      </c>
    </row>
    <row r="329" spans="1:40">
      <c r="A329" s="4" t="s">
        <v>583</v>
      </c>
      <c r="B329">
        <v>2005</v>
      </c>
      <c r="C329">
        <v>20</v>
      </c>
      <c r="D329">
        <v>14</v>
      </c>
      <c r="E329">
        <v>6</v>
      </c>
      <c r="F329">
        <v>4</v>
      </c>
      <c r="G329">
        <v>22</v>
      </c>
      <c r="H329">
        <v>0</v>
      </c>
      <c r="I329" t="s">
        <v>100</v>
      </c>
      <c r="J329" t="s">
        <v>118</v>
      </c>
      <c r="K329" t="s">
        <v>138</v>
      </c>
      <c r="L329" t="s">
        <v>139</v>
      </c>
      <c r="M329" t="str">
        <f t="shared" si="10"/>
        <v>Triticum</v>
      </c>
      <c r="N329" s="7" t="s">
        <v>141</v>
      </c>
      <c r="O329" t="s">
        <v>584</v>
      </c>
      <c r="P329" t="str">
        <f t="shared" si="11"/>
        <v>Moderate</v>
      </c>
      <c r="Q329">
        <f>1-(57.243/74.09)</f>
        <v>0.22738561209339991</v>
      </c>
      <c r="R329" s="25">
        <v>1700</v>
      </c>
      <c r="S329">
        <v>10</v>
      </c>
      <c r="T329" s="5" t="s">
        <v>585</v>
      </c>
      <c r="U329" s="1" t="s">
        <v>256</v>
      </c>
      <c r="V329" s="1" t="s">
        <v>580</v>
      </c>
      <c r="W329" s="25">
        <v>10</v>
      </c>
      <c r="X329" s="25" t="s">
        <v>43</v>
      </c>
      <c r="Y329" t="s">
        <v>48</v>
      </c>
      <c r="Z329" s="25">
        <v>100</v>
      </c>
      <c r="AA329" s="25">
        <v>20</v>
      </c>
      <c r="AB329" s="25">
        <v>0</v>
      </c>
      <c r="AC329" s="25">
        <v>10</v>
      </c>
      <c r="AD329" s="25">
        <v>0</v>
      </c>
      <c r="AE329" s="29" t="s">
        <v>43</v>
      </c>
      <c r="AF329" s="25">
        <v>10</v>
      </c>
      <c r="AG329" s="25">
        <v>0</v>
      </c>
      <c r="AH329" s="25">
        <v>5</v>
      </c>
      <c r="AI329" s="25">
        <v>5</v>
      </c>
      <c r="AJ329" s="25">
        <v>0</v>
      </c>
      <c r="AK329" s="29">
        <v>8.1999999999999993</v>
      </c>
      <c r="AL329" t="s">
        <v>43</v>
      </c>
      <c r="AM329" t="s">
        <v>586</v>
      </c>
      <c r="AN329" t="s">
        <v>67</v>
      </c>
    </row>
    <row r="330" spans="1:40" ht="14.45">
      <c r="A330" s="4" t="s">
        <v>587</v>
      </c>
      <c r="B330">
        <v>2008</v>
      </c>
      <c r="C330">
        <v>20</v>
      </c>
      <c r="D330">
        <v>14</v>
      </c>
      <c r="E330">
        <v>6</v>
      </c>
      <c r="F330">
        <v>4</v>
      </c>
      <c r="G330">
        <v>22</v>
      </c>
      <c r="H330">
        <v>0</v>
      </c>
      <c r="I330" t="s">
        <v>100</v>
      </c>
      <c r="J330" t="s">
        <v>118</v>
      </c>
      <c r="K330" t="s">
        <v>138</v>
      </c>
      <c r="L330" t="s">
        <v>139</v>
      </c>
      <c r="M330" t="str">
        <f t="shared" si="10"/>
        <v>Triticum</v>
      </c>
      <c r="N330" s="7" t="s">
        <v>141</v>
      </c>
      <c r="O330" t="s">
        <v>588</v>
      </c>
      <c r="P330" t="str">
        <f t="shared" si="11"/>
        <v>Moderate</v>
      </c>
      <c r="Q330">
        <f>1-(47.7/60.66)</f>
        <v>0.21364985163204742</v>
      </c>
      <c r="R330" s="25">
        <v>1300</v>
      </c>
      <c r="S330">
        <v>0</v>
      </c>
      <c r="T330" s="5" t="s">
        <v>589</v>
      </c>
      <c r="U330" s="1" t="s">
        <v>288</v>
      </c>
      <c r="V330" s="1" t="s">
        <v>580</v>
      </c>
      <c r="W330" s="25" t="s">
        <v>43</v>
      </c>
      <c r="X330" s="25" t="s">
        <v>43</v>
      </c>
      <c r="Y330" t="s">
        <v>48</v>
      </c>
      <c r="Z330" s="25">
        <v>100</v>
      </c>
      <c r="AA330" s="25">
        <v>20</v>
      </c>
      <c r="AB330" s="25">
        <v>50</v>
      </c>
      <c r="AC330" s="25">
        <v>0</v>
      </c>
      <c r="AD330" s="25">
        <v>0</v>
      </c>
      <c r="AE330" s="29">
        <v>0.66</v>
      </c>
      <c r="AF330" s="25" t="s">
        <v>43</v>
      </c>
      <c r="AG330" s="25">
        <v>0</v>
      </c>
      <c r="AH330" s="25">
        <v>5</v>
      </c>
      <c r="AI330" s="25">
        <v>5</v>
      </c>
      <c r="AJ330" s="25">
        <v>42</v>
      </c>
      <c r="AK330" s="29">
        <v>8.1999999999999993</v>
      </c>
      <c r="AL330">
        <v>25</v>
      </c>
      <c r="AM330" t="s">
        <v>590</v>
      </c>
      <c r="AN330" t="s">
        <v>67</v>
      </c>
    </row>
    <row r="331" spans="1:40" ht="15" customHeight="1">
      <c r="A331" s="4" t="s">
        <v>591</v>
      </c>
      <c r="B331">
        <v>1984</v>
      </c>
      <c r="C331">
        <v>32</v>
      </c>
      <c r="D331">
        <v>4</v>
      </c>
      <c r="E331">
        <v>8</v>
      </c>
      <c r="F331">
        <v>12</v>
      </c>
      <c r="G331">
        <v>2</v>
      </c>
      <c r="H331">
        <v>3</v>
      </c>
      <c r="I331" t="s">
        <v>190</v>
      </c>
      <c r="J331" t="s">
        <v>191</v>
      </c>
      <c r="K331" t="s">
        <v>227</v>
      </c>
      <c r="L331" t="s">
        <v>232</v>
      </c>
      <c r="M331" t="str">
        <f t="shared" si="10"/>
        <v>Solanum</v>
      </c>
      <c r="N331" s="7" t="s">
        <v>235</v>
      </c>
      <c r="O331" t="s">
        <v>592</v>
      </c>
      <c r="P331" t="str">
        <f t="shared" si="11"/>
        <v>Moderate</v>
      </c>
      <c r="Q331">
        <f>1-(0.3708/0.6229)</f>
        <v>0.40471985872531702</v>
      </c>
      <c r="R331" s="25">
        <v>365.6</v>
      </c>
      <c r="S331">
        <v>0</v>
      </c>
      <c r="T331" s="5" t="s">
        <v>593</v>
      </c>
      <c r="U331" s="1" t="s">
        <v>594</v>
      </c>
      <c r="V331" s="1" t="s">
        <v>580</v>
      </c>
      <c r="Y331" t="s">
        <v>65</v>
      </c>
      <c r="Z331" s="30">
        <v>50</v>
      </c>
      <c r="AA331" s="25">
        <v>20</v>
      </c>
      <c r="AB331" s="25">
        <v>5</v>
      </c>
      <c r="AC331" s="25" t="s">
        <v>43</v>
      </c>
      <c r="AD331" s="25">
        <v>0.2</v>
      </c>
      <c r="AE331" s="29">
        <v>5.9999999999999995E-4</v>
      </c>
      <c r="AF331" s="25" t="s">
        <v>43</v>
      </c>
      <c r="AG331" s="25">
        <v>25</v>
      </c>
      <c r="AH331" s="25">
        <v>3.5</v>
      </c>
      <c r="AI331" s="25">
        <v>3.5</v>
      </c>
      <c r="AJ331" s="25">
        <v>0.35</v>
      </c>
      <c r="AK331" s="29">
        <v>7.6</v>
      </c>
      <c r="AL331">
        <v>20</v>
      </c>
      <c r="AM331" t="s">
        <v>595</v>
      </c>
      <c r="AN331" t="s">
        <v>67</v>
      </c>
    </row>
    <row r="332" spans="1:40" ht="15" customHeight="1">
      <c r="A332" s="4" t="s">
        <v>596</v>
      </c>
      <c r="B332">
        <v>2009</v>
      </c>
      <c r="C332">
        <v>43</v>
      </c>
      <c r="D332">
        <v>2</v>
      </c>
      <c r="E332">
        <v>1</v>
      </c>
      <c r="F332">
        <v>0</v>
      </c>
      <c r="G332">
        <v>1</v>
      </c>
      <c r="H332">
        <v>0</v>
      </c>
      <c r="I332" t="s">
        <v>597</v>
      </c>
      <c r="J332" t="s">
        <v>598</v>
      </c>
      <c r="K332" t="s">
        <v>599</v>
      </c>
      <c r="L332" t="s">
        <v>43</v>
      </c>
      <c r="M332" t="str">
        <f t="shared" si="10"/>
        <v>Fagus</v>
      </c>
      <c r="N332" s="7" t="s">
        <v>600</v>
      </c>
      <c r="O332" t="s">
        <v>43</v>
      </c>
      <c r="P332" t="str">
        <f t="shared" si="11"/>
        <v>Low</v>
      </c>
      <c r="Q332">
        <f>1-(4.2/3.98)</f>
        <v>-5.5276381909547867E-2</v>
      </c>
      <c r="R332" s="25">
        <v>1000</v>
      </c>
      <c r="S332">
        <v>100</v>
      </c>
      <c r="T332" s="5" t="s">
        <v>601</v>
      </c>
      <c r="U332" s="1" t="s">
        <v>256</v>
      </c>
      <c r="V332" s="1" t="s">
        <v>580</v>
      </c>
      <c r="W332" s="25">
        <v>15</v>
      </c>
      <c r="X332" s="25" t="s">
        <v>43</v>
      </c>
      <c r="Y332" t="s">
        <v>65</v>
      </c>
      <c r="Z332" s="30">
        <v>50</v>
      </c>
      <c r="AA332" s="25">
        <v>20</v>
      </c>
      <c r="AB332" s="25">
        <v>5</v>
      </c>
      <c r="AC332" s="25">
        <v>0</v>
      </c>
      <c r="AD332" s="25">
        <v>1</v>
      </c>
      <c r="AE332" s="29" t="s">
        <v>43</v>
      </c>
      <c r="AF332" s="25" t="s">
        <v>43</v>
      </c>
      <c r="AG332" s="25">
        <v>25</v>
      </c>
      <c r="AH332" s="25">
        <v>3.5</v>
      </c>
      <c r="AI332" s="25">
        <v>5</v>
      </c>
      <c r="AJ332" s="25">
        <v>0.25</v>
      </c>
      <c r="AK332" s="29">
        <v>8</v>
      </c>
      <c r="AL332">
        <v>20</v>
      </c>
      <c r="AM332" t="s">
        <v>602</v>
      </c>
      <c r="AN332" t="s">
        <v>67</v>
      </c>
    </row>
    <row r="333" spans="1:40" ht="15" customHeight="1">
      <c r="A333" s="4" t="s">
        <v>596</v>
      </c>
      <c r="B333">
        <v>2009</v>
      </c>
      <c r="C333">
        <v>43</v>
      </c>
      <c r="D333">
        <v>2</v>
      </c>
      <c r="E333">
        <v>1</v>
      </c>
      <c r="F333">
        <v>0</v>
      </c>
      <c r="G333">
        <v>1</v>
      </c>
      <c r="H333">
        <v>0</v>
      </c>
      <c r="I333" t="s">
        <v>597</v>
      </c>
      <c r="J333" t="s">
        <v>598</v>
      </c>
      <c r="K333" t="s">
        <v>599</v>
      </c>
      <c r="L333" t="s">
        <v>43</v>
      </c>
      <c r="M333" t="str">
        <f t="shared" si="10"/>
        <v>Fagus</v>
      </c>
      <c r="N333" s="7" t="s">
        <v>600</v>
      </c>
      <c r="O333" t="s">
        <v>43</v>
      </c>
      <c r="P333" t="str">
        <f t="shared" si="11"/>
        <v>Low</v>
      </c>
      <c r="Q333">
        <f>1-(5.17/6.22)</f>
        <v>0.1688102893890675</v>
      </c>
      <c r="R333" s="25">
        <v>1000</v>
      </c>
      <c r="S333">
        <v>100</v>
      </c>
      <c r="T333" s="5" t="s">
        <v>601</v>
      </c>
      <c r="U333" s="1" t="s">
        <v>256</v>
      </c>
      <c r="V333" s="1" t="s">
        <v>580</v>
      </c>
      <c r="W333" s="25">
        <v>15</v>
      </c>
      <c r="X333" s="25" t="s">
        <v>43</v>
      </c>
      <c r="Y333" t="s">
        <v>65</v>
      </c>
      <c r="Z333" s="25">
        <v>50</v>
      </c>
      <c r="AA333" s="25">
        <v>20</v>
      </c>
      <c r="AB333" s="25">
        <v>5</v>
      </c>
      <c r="AC333" s="25">
        <v>0</v>
      </c>
      <c r="AD333" s="25">
        <v>1</v>
      </c>
      <c r="AE333" s="29" t="s">
        <v>43</v>
      </c>
      <c r="AF333" s="25" t="s">
        <v>43</v>
      </c>
      <c r="AG333" s="25">
        <v>25</v>
      </c>
      <c r="AH333" s="25">
        <v>3.5</v>
      </c>
      <c r="AI333" s="25">
        <v>5</v>
      </c>
      <c r="AJ333" s="25">
        <v>0.25</v>
      </c>
      <c r="AK333" s="29">
        <v>8</v>
      </c>
      <c r="AL333">
        <v>20</v>
      </c>
      <c r="AM333" t="s">
        <v>602</v>
      </c>
      <c r="AN333" t="s">
        <v>67</v>
      </c>
    </row>
    <row r="334" spans="1:40" ht="15" customHeight="1">
      <c r="A334" s="4" t="s">
        <v>603</v>
      </c>
      <c r="B334">
        <v>2007</v>
      </c>
      <c r="C334">
        <v>48</v>
      </c>
      <c r="D334">
        <v>17</v>
      </c>
      <c r="E334">
        <v>1</v>
      </c>
      <c r="F334">
        <v>13</v>
      </c>
      <c r="G334">
        <v>1</v>
      </c>
      <c r="H334">
        <v>0</v>
      </c>
      <c r="I334" t="s">
        <v>546</v>
      </c>
      <c r="J334" t="s">
        <v>547</v>
      </c>
      <c r="K334" t="s">
        <v>548</v>
      </c>
      <c r="L334" t="s">
        <v>549</v>
      </c>
      <c r="M334" t="str">
        <f t="shared" si="10"/>
        <v>Arabidopsis</v>
      </c>
      <c r="N334" s="7" t="s">
        <v>550</v>
      </c>
      <c r="O334" t="s">
        <v>43</v>
      </c>
      <c r="P334" t="str">
        <f t="shared" si="11"/>
        <v>Low</v>
      </c>
      <c r="Q334">
        <f>1-(6981.02/7898.94)</f>
        <v>0.11620799752878219</v>
      </c>
      <c r="R334" s="25">
        <v>120</v>
      </c>
      <c r="S334">
        <v>0</v>
      </c>
      <c r="T334" s="5" t="s">
        <v>604</v>
      </c>
      <c r="U334" s="1" t="s">
        <v>605</v>
      </c>
      <c r="V334" s="1" t="s">
        <v>580</v>
      </c>
      <c r="W334" s="25">
        <v>15</v>
      </c>
      <c r="X334" s="25" t="s">
        <v>43</v>
      </c>
      <c r="Y334" t="s">
        <v>201</v>
      </c>
      <c r="Z334" s="30">
        <v>100</v>
      </c>
      <c r="AA334" s="25">
        <v>20</v>
      </c>
      <c r="AB334" s="25">
        <v>0.05</v>
      </c>
      <c r="AC334" s="25">
        <v>0</v>
      </c>
      <c r="AD334" s="25">
        <v>2</v>
      </c>
      <c r="AE334" s="29" t="s">
        <v>43</v>
      </c>
      <c r="AF334" s="25">
        <v>10</v>
      </c>
      <c r="AG334" s="25">
        <v>0</v>
      </c>
      <c r="AH334" s="25">
        <v>0.5</v>
      </c>
      <c r="AI334" s="25">
        <v>0</v>
      </c>
      <c r="AJ334" s="25">
        <v>1.5</v>
      </c>
      <c r="AK334" s="29">
        <v>8</v>
      </c>
      <c r="AL334">
        <v>25</v>
      </c>
      <c r="AM334" t="s">
        <v>606</v>
      </c>
      <c r="AN334" t="s">
        <v>67</v>
      </c>
    </row>
  </sheetData>
  <sortState xmlns:xlrd2="http://schemas.microsoft.com/office/spreadsheetml/2017/richdata2" ref="A2:AN334">
    <sortCondition descending="1" ref="V2:V334"/>
    <sortCondition ref="C2:C334"/>
    <sortCondition ref="D2:D334"/>
    <sortCondition ref="E2:E334"/>
    <sortCondition ref="F2:F334"/>
    <sortCondition ref="G2:G334"/>
    <sortCondition ref="H2:H334"/>
  </sortState>
  <conditionalFormatting sqref="P2:P334">
    <cfRule type="containsText" dxfId="93" priority="872" operator="containsText" text="Moderate">
      <formula>NOT(ISERROR(SEARCH("Moderate",P2)))</formula>
    </cfRule>
    <cfRule type="containsText" dxfId="92" priority="876" operator="containsText" text="Low">
      <formula>NOT(ISERROR(SEARCH("Low",P2)))</formula>
    </cfRule>
    <cfRule type="containsText" dxfId="91" priority="871" operator="containsText" text="Very High">
      <formula>NOT(ISERROR(SEARCH("Very High",P2)))</formula>
    </cfRule>
    <cfRule type="containsText" dxfId="90" priority="874" operator="containsText" text="High">
      <formula>NOT(ISERROR(SEARCH("High",P2)))</formula>
    </cfRule>
  </conditionalFormatting>
  <conditionalFormatting sqref="Q3:Q13">
    <cfRule type="containsText" dxfId="89" priority="486" operator="containsText" text="Low">
      <formula>NOT(ISERROR(SEARCH("Low",Q3)))</formula>
    </cfRule>
    <cfRule type="containsText" dxfId="88" priority="485" operator="containsText" text="Minimal">
      <formula>NOT(ISERROR(SEARCH("Minimal",Q3)))</formula>
    </cfRule>
    <cfRule type="containsText" dxfId="87" priority="484" operator="containsText" text="High">
      <formula>NOT(ISERROR(SEARCH("High",Q3)))</formula>
    </cfRule>
    <cfRule type="containsText" dxfId="86" priority="483" operator="containsText" text="Very Low">
      <formula>NOT(ISERROR(SEARCH("Very Low",Q3)))</formula>
    </cfRule>
    <cfRule type="containsText" dxfId="85" priority="482" operator="containsText" text="Moderate">
      <formula>NOT(ISERROR(SEARCH("Moderate",Q3)))</formula>
    </cfRule>
    <cfRule type="containsText" dxfId="84" priority="481" operator="containsText" text="Very High">
      <formula>NOT(ISERROR(SEARCH("Very High",Q3)))</formula>
    </cfRule>
  </conditionalFormatting>
  <conditionalFormatting sqref="Q15:Q17">
    <cfRule type="containsText" dxfId="83" priority="467" operator="containsText" text="Minimal">
      <formula>NOT(ISERROR(SEARCH("Minimal",Q15)))</formula>
    </cfRule>
    <cfRule type="containsText" dxfId="82" priority="466" operator="containsText" text="High">
      <formula>NOT(ISERROR(SEARCH("High",Q15)))</formula>
    </cfRule>
    <cfRule type="containsText" dxfId="81" priority="465" operator="containsText" text="Very Low">
      <formula>NOT(ISERROR(SEARCH("Very Low",Q15)))</formula>
    </cfRule>
    <cfRule type="containsText" dxfId="80" priority="464" operator="containsText" text="Moderate">
      <formula>NOT(ISERROR(SEARCH("Moderate",Q15)))</formula>
    </cfRule>
    <cfRule type="containsText" dxfId="79" priority="468" operator="containsText" text="Low">
      <formula>NOT(ISERROR(SEARCH("Low",Q15)))</formula>
    </cfRule>
    <cfRule type="containsText" dxfId="78" priority="463" operator="containsText" text="Very High">
      <formula>NOT(ISERROR(SEARCH("Very High",Q15)))</formula>
    </cfRule>
  </conditionalFormatting>
  <conditionalFormatting sqref="Q21:Q36">
    <cfRule type="containsText" dxfId="77" priority="413" operator="containsText" text="Minimal">
      <formula>NOT(ISERROR(SEARCH("Minimal",Q21)))</formula>
    </cfRule>
    <cfRule type="containsText" dxfId="76" priority="412" operator="containsText" text="High">
      <formula>NOT(ISERROR(SEARCH("High",Q21)))</formula>
    </cfRule>
    <cfRule type="containsText" dxfId="75" priority="411" operator="containsText" text="Very Low">
      <formula>NOT(ISERROR(SEARCH("Very Low",Q21)))</formula>
    </cfRule>
    <cfRule type="containsText" dxfId="74" priority="409" operator="containsText" text="Very High">
      <formula>NOT(ISERROR(SEARCH("Very High",Q21)))</formula>
    </cfRule>
    <cfRule type="containsText" dxfId="73" priority="410" operator="containsText" text="Moderate">
      <formula>NOT(ISERROR(SEARCH("Moderate",Q21)))</formula>
    </cfRule>
    <cfRule type="containsText" dxfId="72" priority="414" operator="containsText" text="Low">
      <formula>NOT(ISERROR(SEARCH("Low",Q21)))</formula>
    </cfRule>
  </conditionalFormatting>
  <conditionalFormatting sqref="Q91:Q104">
    <cfRule type="containsText" dxfId="71" priority="404" operator="containsText" text="Moderate">
      <formula>NOT(ISERROR(SEARCH("Moderate",Q91)))</formula>
    </cfRule>
    <cfRule type="containsText" dxfId="70" priority="403" operator="containsText" text="Very High">
      <formula>NOT(ISERROR(SEARCH("Very High",Q91)))</formula>
    </cfRule>
    <cfRule type="containsText" dxfId="69" priority="407" operator="containsText" text="Minimal">
      <formula>NOT(ISERROR(SEARCH("Minimal",Q91)))</formula>
    </cfRule>
    <cfRule type="containsText" dxfId="68" priority="408" operator="containsText" text="Low">
      <formula>NOT(ISERROR(SEARCH("Low",Q91)))</formula>
    </cfRule>
    <cfRule type="containsText" dxfId="67" priority="405" operator="containsText" text="Very Low">
      <formula>NOT(ISERROR(SEARCH("Very Low",Q91)))</formula>
    </cfRule>
    <cfRule type="containsText" dxfId="66" priority="406" operator="containsText" text="High">
      <formula>NOT(ISERROR(SEARCH("High",Q91)))</formula>
    </cfRule>
  </conditionalFormatting>
  <conditionalFormatting sqref="Q117">
    <cfRule type="containsText" dxfId="65" priority="402" operator="containsText" text="Low">
      <formula>NOT(ISERROR(SEARCH("Low",Q117)))</formula>
    </cfRule>
    <cfRule type="containsText" dxfId="64" priority="401" operator="containsText" text="Minimal">
      <formula>NOT(ISERROR(SEARCH("Minimal",Q117)))</formula>
    </cfRule>
    <cfRule type="containsText" dxfId="63" priority="399" operator="containsText" text="Very Low">
      <formula>NOT(ISERROR(SEARCH("Very Low",Q117)))</formula>
    </cfRule>
    <cfRule type="containsText" dxfId="62" priority="398" operator="containsText" text="Moderate">
      <formula>NOT(ISERROR(SEARCH("Moderate",Q117)))</formula>
    </cfRule>
    <cfRule type="containsText" dxfId="61" priority="397" operator="containsText" text="Very High">
      <formula>NOT(ISERROR(SEARCH("Very High",Q117)))</formula>
    </cfRule>
    <cfRule type="containsText" dxfId="60" priority="400" operator="containsText" text="High">
      <formula>NOT(ISERROR(SEARCH("High",Q117)))</formula>
    </cfRule>
  </conditionalFormatting>
  <conditionalFormatting sqref="Q156:Q159">
    <cfRule type="containsText" dxfId="59" priority="330" operator="containsText" text="Low">
      <formula>NOT(ISERROR(SEARCH("Low",Q156)))</formula>
    </cfRule>
    <cfRule type="containsText" dxfId="58" priority="329" operator="containsText" text="Minimal">
      <formula>NOT(ISERROR(SEARCH("Minimal",Q156)))</formula>
    </cfRule>
    <cfRule type="containsText" dxfId="57" priority="328" operator="containsText" text="High">
      <formula>NOT(ISERROR(SEARCH("High",Q156)))</formula>
    </cfRule>
    <cfRule type="containsText" dxfId="56" priority="327" operator="containsText" text="Very Low">
      <formula>NOT(ISERROR(SEARCH("Very Low",Q156)))</formula>
    </cfRule>
    <cfRule type="containsText" dxfId="55" priority="326" operator="containsText" text="Moderate">
      <formula>NOT(ISERROR(SEARCH("Moderate",Q156)))</formula>
    </cfRule>
    <cfRule type="containsText" dxfId="54" priority="325" operator="containsText" text="Very High">
      <formula>NOT(ISERROR(SEARCH("Very High",Q156)))</formula>
    </cfRule>
  </conditionalFormatting>
  <conditionalFormatting sqref="Q172:Q176">
    <cfRule type="containsText" dxfId="53" priority="263" operator="containsText" text="Minimal">
      <formula>NOT(ISERROR(SEARCH("Minimal",Q172)))</formula>
    </cfRule>
    <cfRule type="containsText" dxfId="52" priority="264" operator="containsText" text="Low">
      <formula>NOT(ISERROR(SEARCH("Low",Q172)))</formula>
    </cfRule>
    <cfRule type="containsText" dxfId="51" priority="259" operator="containsText" text="Very High">
      <formula>NOT(ISERROR(SEARCH("Very High",Q172)))</formula>
    </cfRule>
    <cfRule type="containsText" dxfId="50" priority="260" operator="containsText" text="Moderate">
      <formula>NOT(ISERROR(SEARCH("Moderate",Q172)))</formula>
    </cfRule>
    <cfRule type="containsText" dxfId="49" priority="261" operator="containsText" text="Very Low">
      <formula>NOT(ISERROR(SEARCH("Very Low",Q172)))</formula>
    </cfRule>
    <cfRule type="containsText" dxfId="48" priority="262" operator="containsText" text="High">
      <formula>NOT(ISERROR(SEARCH("High",Q172)))</formula>
    </cfRule>
  </conditionalFormatting>
  <conditionalFormatting sqref="Q234:Q235">
    <cfRule type="containsText" dxfId="47" priority="241" operator="containsText" text="Very High">
      <formula>NOT(ISERROR(SEARCH("Very High",Q234)))</formula>
    </cfRule>
    <cfRule type="containsText" dxfId="46" priority="243" operator="containsText" text="Very Low">
      <formula>NOT(ISERROR(SEARCH("Very Low",Q234)))</formula>
    </cfRule>
    <cfRule type="containsText" dxfId="45" priority="246" operator="containsText" text="Low">
      <formula>NOT(ISERROR(SEARCH("Low",Q234)))</formula>
    </cfRule>
    <cfRule type="containsText" dxfId="44" priority="245" operator="containsText" text="Minimal">
      <formula>NOT(ISERROR(SEARCH("Minimal",Q234)))</formula>
    </cfRule>
    <cfRule type="containsText" dxfId="43" priority="244" operator="containsText" text="High">
      <formula>NOT(ISERROR(SEARCH("High",Q234)))</formula>
    </cfRule>
    <cfRule type="containsText" dxfId="42" priority="242" operator="containsText" text="Moderate">
      <formula>NOT(ISERROR(SEARCH("Moderate",Q234)))</formula>
    </cfRule>
  </conditionalFormatting>
  <conditionalFormatting sqref="Q244:Q245">
    <cfRule type="containsText" dxfId="41" priority="222" operator="containsText" text="Low">
      <formula>NOT(ISERROR(SEARCH("Low",Q244)))</formula>
    </cfRule>
    <cfRule type="containsText" dxfId="40" priority="221" operator="containsText" text="Minimal">
      <formula>NOT(ISERROR(SEARCH("Minimal",Q244)))</formula>
    </cfRule>
    <cfRule type="containsText" dxfId="39" priority="220" operator="containsText" text="High">
      <formula>NOT(ISERROR(SEARCH("High",Q244)))</formula>
    </cfRule>
    <cfRule type="containsText" dxfId="38" priority="219" operator="containsText" text="Very Low">
      <formula>NOT(ISERROR(SEARCH("Very Low",Q244)))</formula>
    </cfRule>
    <cfRule type="containsText" dxfId="37" priority="218" operator="containsText" text="Moderate">
      <formula>NOT(ISERROR(SEARCH("Moderate",Q244)))</formula>
    </cfRule>
    <cfRule type="containsText" dxfId="36" priority="217" operator="containsText" text="Very High">
      <formula>NOT(ISERROR(SEARCH("Very High",Q244)))</formula>
    </cfRule>
  </conditionalFormatting>
  <conditionalFormatting sqref="Q261">
    <cfRule type="containsText" dxfId="35" priority="210" operator="containsText" text="Low">
      <formula>NOT(ISERROR(SEARCH("Low",Q261)))</formula>
    </cfRule>
    <cfRule type="containsText" dxfId="34" priority="209" operator="containsText" text="Minimal">
      <formula>NOT(ISERROR(SEARCH("Minimal",Q261)))</formula>
    </cfRule>
    <cfRule type="containsText" dxfId="33" priority="208" operator="containsText" text="High">
      <formula>NOT(ISERROR(SEARCH("High",Q261)))</formula>
    </cfRule>
    <cfRule type="containsText" dxfId="32" priority="206" operator="containsText" text="Moderate">
      <formula>NOT(ISERROR(SEARCH("Moderate",Q261)))</formula>
    </cfRule>
    <cfRule type="containsText" dxfId="31" priority="205" operator="containsText" text="Very High">
      <formula>NOT(ISERROR(SEARCH("Very High",Q261)))</formula>
    </cfRule>
    <cfRule type="containsText" dxfId="30" priority="207" operator="containsText" text="Very Low">
      <formula>NOT(ISERROR(SEARCH("Very Low",Q261)))</formula>
    </cfRule>
  </conditionalFormatting>
  <conditionalFormatting sqref="Q300">
    <cfRule type="containsText" dxfId="29" priority="186" operator="containsText" text="Low">
      <formula>NOT(ISERROR(SEARCH("Low",Q300)))</formula>
    </cfRule>
    <cfRule type="containsText" dxfId="28" priority="185" operator="containsText" text="Minimal">
      <formula>NOT(ISERROR(SEARCH("Minimal",Q300)))</formula>
    </cfRule>
    <cfRule type="containsText" dxfId="27" priority="184" operator="containsText" text="High">
      <formula>NOT(ISERROR(SEARCH("High",Q300)))</formula>
    </cfRule>
    <cfRule type="containsText" dxfId="26" priority="183" operator="containsText" text="Very Low">
      <formula>NOT(ISERROR(SEARCH("Very Low",Q300)))</formula>
    </cfRule>
    <cfRule type="containsText" dxfId="25" priority="181" operator="containsText" text="Very High">
      <formula>NOT(ISERROR(SEARCH("Very High",Q300)))</formula>
    </cfRule>
    <cfRule type="containsText" dxfId="24" priority="182" operator="containsText" text="Moderate">
      <formula>NOT(ISERROR(SEARCH("Moderate",Q300)))</formula>
    </cfRule>
  </conditionalFormatting>
  <conditionalFormatting sqref="Q302:Q314">
    <cfRule type="containsText" dxfId="23" priority="105" operator="containsText" text="Very Low">
      <formula>NOT(ISERROR(SEARCH("Very Low",Q302)))</formula>
    </cfRule>
    <cfRule type="containsText" dxfId="22" priority="104" operator="containsText" text="Moderate">
      <formula>NOT(ISERROR(SEARCH("Moderate",Q302)))</formula>
    </cfRule>
    <cfRule type="containsText" dxfId="21" priority="103" operator="containsText" text="Very High">
      <formula>NOT(ISERROR(SEARCH("Very High",Q302)))</formula>
    </cfRule>
    <cfRule type="containsText" dxfId="20" priority="107" operator="containsText" text="Minimal">
      <formula>NOT(ISERROR(SEARCH("Minimal",Q302)))</formula>
    </cfRule>
    <cfRule type="containsText" dxfId="19" priority="108" operator="containsText" text="Low">
      <formula>NOT(ISERROR(SEARCH("Low",Q302)))</formula>
    </cfRule>
    <cfRule type="containsText" dxfId="18" priority="106" operator="containsText" text="High">
      <formula>NOT(ISERROR(SEARCH("High",Q302)))</formula>
    </cfRule>
  </conditionalFormatting>
  <conditionalFormatting sqref="Q318:Q333">
    <cfRule type="containsText" dxfId="17" priority="1" operator="containsText" text="Very High">
      <formula>NOT(ISERROR(SEARCH("Very High",Q318)))</formula>
    </cfRule>
    <cfRule type="containsText" dxfId="16" priority="6" operator="containsText" text="Low">
      <formula>NOT(ISERROR(SEARCH("Low",Q318)))</formula>
    </cfRule>
    <cfRule type="containsText" dxfId="15" priority="5" operator="containsText" text="Minimal">
      <formula>NOT(ISERROR(SEARCH("Minimal",Q318)))</formula>
    </cfRule>
    <cfRule type="containsText" dxfId="14" priority="4" operator="containsText" text="High">
      <formula>NOT(ISERROR(SEARCH("High",Q318)))</formula>
    </cfRule>
    <cfRule type="containsText" dxfId="13" priority="3" operator="containsText" text="Very Low">
      <formula>NOT(ISERROR(SEARCH("Very Low",Q318)))</formula>
    </cfRule>
    <cfRule type="containsText" dxfId="12" priority="2" operator="containsText" text="Moderate">
      <formula>NOT(ISERROR(SEARCH("Moderate",Q318)))</formula>
    </cfRule>
  </conditionalFormatting>
  <hyperlinks>
    <hyperlink ref="A13" r:id="rId1" xr:uid="{AAB36BAF-4342-4372-A77B-B42B7711C516}"/>
    <hyperlink ref="A4:A13" r:id="rId2" display="Bowes et al. 1990" xr:uid="{2A74C805-4E3B-409A-A727-EA57ACF80C1B}"/>
    <hyperlink ref="A19:A20" r:id="rId3" display="Carmo-Silva et al. 2010" xr:uid="{916A056B-D2BA-4537-9BBC-AE8A5172E8FD}"/>
    <hyperlink ref="A78:A79" r:id="rId4" display="Salvucci and Anderson 1987" xr:uid="{3AF92CBE-5E6C-47DA-822F-3244EC7E69F3}"/>
    <hyperlink ref="A250" r:id="rId5" xr:uid="{B9716DD9-ACE5-47AA-BCB4-E21501051652}"/>
    <hyperlink ref="A8" r:id="rId6" display="Responses of carboxylating enzymes, sucrose metabolizing enzymes and plant hormones in a tropical epiphytic CAM orchid to CO2 enrichment - Li - 2002 - Plant, Cell &amp; Environment - Wiley Online Library" xr:uid="{2D774D56-E7E3-4E2F-8F70-41C75388059E}"/>
    <hyperlink ref="A2" r:id="rId7" display="Activation and deactivation of ribulose-1,5-bisphosphate carboxylase/oxygenase (Rubisco) in three marine microalgae | Photosynthesis Research" xr:uid="{505AE13D-52C9-4AEF-9DBA-39360260D7A6}"/>
    <hyperlink ref="A63" r:id="rId8" display="Reduction of Ribulose Bisphosphate Carboxylase Activase Levels in Tobacco (Nicotiana tabacum) by Antisense RNA Reduces Ribulose Bisphosphate Carboxylase Carbamylation and Impairs Photosynthesis | Plant Physiology | Oxford Academic" xr:uid="{619BFE69-429B-42F8-84AA-68779B3F2C27}"/>
    <hyperlink ref="A162:A165" r:id="rId9" display="Sage 1993" xr:uid="{5DC3A861-7611-44DC-A9C2-1328DF1D9DC0}"/>
    <hyperlink ref="A19" r:id="rId10" display="Acclimation of rice to changing atmospheric carbon dioxide concentration - ROWLAND‐BAMFORD - 1991 - Plant, Cell &amp; Environment - Wiley Online Library" xr:uid="{D2C0E2FE-A0CE-4CFF-AFA1-B2E434FEF8E3}"/>
    <hyperlink ref="A241:A242" r:id="rId11" display="Salvucci and Anderson 1987" xr:uid="{B5ADB367-B7EE-4A03-927F-FA8D66999B04}"/>
    <hyperlink ref="A6" r:id="rId12" xr:uid="{25DAB280-EE64-4F02-AB7C-9BF426DA94AB}"/>
    <hyperlink ref="A7" r:id="rId13" display="Light Adaptation/Acclimation of Photosynthesis and the Regulation of Ribulose-1,5-Bisphosphate Carboxylase Activity in Sun and Shade Plants on JSTOR" xr:uid="{1555E4ED-7FF9-492E-8533-F1464550612B}"/>
    <hyperlink ref="A4" r:id="rId14" xr:uid="{443331AF-C347-4BD0-B6A4-7E951FBC82CA}"/>
    <hyperlink ref="A5" r:id="rId15" xr:uid="{5BD62942-5A0A-4E96-8B89-922C48319CE9}"/>
    <hyperlink ref="A20" r:id="rId16" display="Effects of elevated CO2 and temperature on photosynthesis and Rubisco in rice and soybean - VU - 1997 - Plant, Cell &amp; Environment - Wiley Online Library" xr:uid="{5EC65F3D-0E1A-4CEF-832B-B7B70262CDA0}"/>
    <hyperlink ref="A241" r:id="rId17" display="Effects of elevated CO2 and temperature on photosynthesis and Rubisco in rice and soybean - VU - 1997 - Plant, Cell &amp; Environment - Wiley Online Library" xr:uid="{36EA41BD-F7E6-4FFE-B32E-E1F4C682C507}"/>
    <hyperlink ref="A88" r:id="rId18" display="Novel Role for Light in the Activation of Ribulosebisphosphate Carboxylase/Oxygenase | Plant Physiology | Oxford Academic" xr:uid="{6BDE68C4-1C47-4AE2-8759-244E98DA5E68}"/>
    <hyperlink ref="A3" r:id="rId19" display="Rubisco activity of scenedesmus ecornis: What is wrong with initial activity determination? - ScienceDirect" xr:uid="{2643D3F3-8E87-46BD-8782-5AB0BE2CE1D0}"/>
    <hyperlink ref="A330" r:id="rId20" display="https://nph.onlinelibrary.wiley.com/doi/abs/10.1046/j.1469-8137.2000.00659.x" xr:uid="{5D3AD150-A9B2-46A1-B2A6-CF4B392C8443}"/>
    <hyperlink ref="A9" r:id="rId21" xr:uid="{40806814-1BDC-46BF-BF30-9D12356A342B}"/>
    <hyperlink ref="A10" r:id="rId22" xr:uid="{297003FE-C3B3-4022-9EE9-DB7466117942}"/>
    <hyperlink ref="A11" r:id="rId23" xr:uid="{3D532F17-985C-4339-A8C4-F8AD61D2EEA4}"/>
    <hyperlink ref="A12" r:id="rId24" xr:uid="{86FA4EB2-81FB-4115-9243-8EAF094E7BD0}"/>
    <hyperlink ref="A14:A18" r:id="rId25" xr:uid="{B51144BB-A30A-482A-ACE4-349D3F518AC2}"/>
    <hyperlink ref="A21" r:id="rId26" xr:uid="{C07A792C-F9BC-44F7-8491-FA5643AFCAFA}"/>
    <hyperlink ref="A22" r:id="rId27" xr:uid="{BF4D97E4-D9E4-46BC-9587-72A394953302}"/>
    <hyperlink ref="A23" r:id="rId28" xr:uid="{55C3F0BF-A91C-447C-BCD8-DB7D08DDB274}"/>
    <hyperlink ref="A24" r:id="rId29" xr:uid="{144847B7-BBB2-4F83-892F-A7FBB9892729}"/>
    <hyperlink ref="A25" r:id="rId30" xr:uid="{3201F2FA-8E83-4BF0-8000-5E034CB1349B}"/>
    <hyperlink ref="A26" r:id="rId31" xr:uid="{A19EA96D-3877-4CAE-B390-015A6132CB28}"/>
    <hyperlink ref="A28" r:id="rId32" xr:uid="{67A55D2D-1E4B-415E-BE1E-1B37E291CD35}"/>
    <hyperlink ref="A29:A30" r:id="rId33" xr:uid="{4CD6808F-DDC9-4315-9A6C-A942564A30FD}"/>
    <hyperlink ref="A31:A32" r:id="rId34" xr:uid="{B744EC35-7241-4682-9096-51B4CCEB56DE}"/>
    <hyperlink ref="A34:A36" r:id="rId35" xr:uid="{5F1871AB-693E-4709-B9D7-3748783F4852}"/>
    <hyperlink ref="A33" r:id="rId36" xr:uid="{193990FD-1604-4E98-8D0F-F82A76127C88}"/>
    <hyperlink ref="A37:A38" r:id="rId37" xr:uid="{074E9154-371A-42DE-827E-93C00E39ECFA}"/>
    <hyperlink ref="A39:A40" r:id="rId38" xr:uid="{1AB1BF11-9783-4036-AAA6-334CB0943273}"/>
    <hyperlink ref="A41" r:id="rId39" xr:uid="{83274CAA-8519-452E-A6AD-CCF1171D3EA8}"/>
    <hyperlink ref="A42:A43" r:id="rId40" xr:uid="{936E93B7-8C6D-4252-A017-09C907F7C2DC}"/>
    <hyperlink ref="A44" r:id="rId41" xr:uid="{AC5A41AF-F384-49BE-92A5-221C24ADCEB3}"/>
    <hyperlink ref="A45" r:id="rId42" xr:uid="{50135D4D-2ACE-47C0-9C91-08EBD77D7ACD}"/>
    <hyperlink ref="A46" r:id="rId43" xr:uid="{943CAD3F-7245-44D2-B14B-B88143DDFE5A}"/>
    <hyperlink ref="A48" r:id="rId44" xr:uid="{F4FE0329-49D5-4237-88A0-898BC9A7D775}"/>
    <hyperlink ref="A47" r:id="rId45" xr:uid="{C0C8B898-B36A-4E95-887A-1C480195AE42}"/>
    <hyperlink ref="A49:A51" r:id="rId46" xr:uid="{6F23215F-6CDC-4F81-A769-527DA27D3B65}"/>
    <hyperlink ref="A53" r:id="rId47" xr:uid="{350D7FEA-DE05-4A30-B9D9-3667957FE11A}"/>
    <hyperlink ref="A52" r:id="rId48" xr:uid="{4CB4A850-5209-4E5E-9880-5D3E41127067}"/>
    <hyperlink ref="A54" r:id="rId49" xr:uid="{531F4B6F-F90B-4F60-839F-9A0FD3CC9122}"/>
    <hyperlink ref="A55" r:id="rId50" xr:uid="{BF0D512A-0C84-4E26-8187-ABB4A4B1FE60}"/>
    <hyperlink ref="A56" r:id="rId51" xr:uid="{98F4F724-A662-4C58-A199-BB64F570B64D}"/>
    <hyperlink ref="A59" r:id="rId52" xr:uid="{CAAE5229-476E-49B3-A95B-F9A3271718F9}"/>
    <hyperlink ref="A60" r:id="rId53" xr:uid="{BF48BA6A-3D92-4AD3-BDDD-A064EF22973F}"/>
    <hyperlink ref="A61" r:id="rId54" xr:uid="{BF594C72-9676-413F-B8DA-367C065206AE}"/>
    <hyperlink ref="A62" r:id="rId55" xr:uid="{89640DC9-D989-4871-8504-35045CAEDBAD}"/>
    <hyperlink ref="A64" r:id="rId56" display="Water-stress-and-the-diurnal-activity-of-ribulose-1-5-bisphosphate-carboxylase-in-field-grown-Nicotiana-tabacum-genotypes-selected-for-survival-at-low-CO2-concentrations.pdf" xr:uid="{0765AC09-FA1B-4E95-AF88-6B267B511A9B}"/>
    <hyperlink ref="A65" r:id="rId57" display="Regulation of Rubisco by inhibitors in the light - PARRY - 1997 - Plant, Cell &amp; Environment - Wiley Online Library" xr:uid="{E4B590A2-6E49-45C8-A983-DF05F83C05D8}"/>
    <hyperlink ref="A66" r:id="rId58" display="Regulatory Properties of Rubisco Activase Differ among Species and Affect Photosynthetic Induction during Light Transitions     | Plant Physiology | Oxford Academic" xr:uid="{CE503C64-3D5D-4A7A-B8CB-3C3BDB111BC3}"/>
    <hyperlink ref="A67:A70" r:id="rId59" xr:uid="{49C239D2-5886-4D19-ADC1-830153188A0D}"/>
    <hyperlink ref="A71" r:id="rId60" xr:uid="{F1E2F0FB-5C9C-41FA-8AED-209EC7D2EA53}"/>
    <hyperlink ref="A72:A75" r:id="rId61" xr:uid="{58F73BED-2553-4524-8F64-54461B44B6B0}"/>
    <hyperlink ref="A76" r:id="rId62" xr:uid="{F434A1E2-08D1-4107-B247-CE7FFCA03B2C}"/>
    <hyperlink ref="A77:A78" r:id="rId63" xr:uid="{2AD4D1C1-F9E5-459A-8B21-81E4B7039694}"/>
    <hyperlink ref="A79" r:id="rId64" xr:uid="{BF28ECD2-1A69-4AE1-A91E-EE0E0B51FE77}"/>
    <hyperlink ref="A80" r:id="rId65" display="Kobza and Seemann 1988" xr:uid="{A9C4856B-73AA-499E-9305-14D7BD5572E5}"/>
    <hyperlink ref="A81" r:id="rId66" xr:uid="{8A5FD1F5-F5B6-4880-9D56-4055853236FB}"/>
    <hyperlink ref="A82" r:id="rId67" display="Regulation of Photosynthetic Carbon Reduction Cycle by Ribulose Bisphosphate and Phosphoglyceric Acid 1 | Plant Physiology | Oxford Academic" xr:uid="{2C1D3932-18FF-4C88-8B1E-2F1BE87038ED}"/>
    <hyperlink ref="A83" r:id="rId68" xr:uid="{2ED1C9A5-9F9A-4DF7-BE2E-9881EA93D814}"/>
    <hyperlink ref="A84" r:id="rId69" xr:uid="{53C2995F-0FC1-42C1-A744-18300A66C56F}"/>
    <hyperlink ref="A85" r:id="rId70" display="Salvucci and Anderson 1987" xr:uid="{EB325ABE-FDA6-4BD4-B94D-E6DFBAAD25A4}"/>
    <hyperlink ref="A85" r:id="rId71" xr:uid="{B7B5563C-2801-4C20-9508-698F91828A8A}"/>
    <hyperlink ref="A86" r:id="rId72" display="Kobza and Seemann 1988" xr:uid="{703D8A44-A9BC-40E7-9A6A-A91E5D9E46D7}"/>
    <hyperlink ref="A87" r:id="rId73" xr:uid="{915E6508-4913-4379-8E83-63B6A267604A}"/>
    <hyperlink ref="A89" r:id="rId74" xr:uid="{A4C20E29-77AB-4B4B-B535-B38605BB4185}"/>
    <hyperlink ref="A90" r:id="rId75" xr:uid="{E5B31767-049E-4A47-8BD5-FC516FB30803}"/>
    <hyperlink ref="A91" r:id="rId76" xr:uid="{40414C94-DB18-414B-BD63-5C408D52EAD3}"/>
    <hyperlink ref="A92:A93" r:id="rId77" xr:uid="{2AF57D52-0247-4830-BF15-72D96F9C394E}"/>
    <hyperlink ref="A94:A95" r:id="rId78" xr:uid="{F1BAF89F-5E0D-46C4-A2F5-AF8EE6266735}"/>
    <hyperlink ref="A96:A97" r:id="rId79" xr:uid="{6DA60D91-4C64-4C09-A7EB-2490BDEC4B91}"/>
    <hyperlink ref="A98:A99" r:id="rId80" xr:uid="{F7D67DD1-6E25-4C76-A69E-536C04BA1DC7}"/>
    <hyperlink ref="A100" r:id="rId81" display="Modulation of Rubisco Activity during the Diurnal Phases of the Crassulacean Acid Metabolism Plant Kalanchoëdaigremontiana  1 | Plant Physiology | Oxford Academic" xr:uid="{0FC81A10-9D09-4AA2-A885-E6788FB5DF01}"/>
    <hyperlink ref="A101" r:id="rId82" display="https://www.publish.csiro.au/fp/PP01212" xr:uid="{8ECBA406-DFBD-41D1-926F-F6D1709A6637}"/>
    <hyperlink ref="A103" r:id="rId83" xr:uid="{286AEF3D-B86F-4D08-9F2C-29C9768DB53F}"/>
    <hyperlink ref="A105" r:id="rId84" xr:uid="{FDAC2624-0F0D-4E25-9B57-2219BE702C2F}"/>
    <hyperlink ref="A102" r:id="rId85" xr:uid="{68DE2A03-307F-4EFE-8A34-4FC34830B3CC}"/>
    <hyperlink ref="A104" r:id="rId86" xr:uid="{2D7D48B8-693B-4607-A061-9BA162E49037}"/>
    <hyperlink ref="A107" r:id="rId87" display="https://www.publish.csiro.au/fp/PP01212" xr:uid="{5AD0973F-394E-42CE-83FE-3B747692ED35}"/>
    <hyperlink ref="A108:A109" r:id="rId88" xr:uid="{78C03B02-2D7C-4D81-99F3-CEC7A187A4F5}"/>
    <hyperlink ref="A110" r:id="rId89" display="https://link.springer.com/article/10.1007/s11738-004-0002-2" xr:uid="{5376A346-8FF9-4AC9-B7B9-11AB7B5E7724}"/>
    <hyperlink ref="A111:A133" r:id="rId90" xr:uid="{7123B650-ABD9-4005-AE7E-55D83A8F7A1D}"/>
    <hyperlink ref="A135:A156" r:id="rId91" xr:uid="{690E604B-D115-48A2-83E6-1A012CF16986}"/>
    <hyperlink ref="A159:A161" r:id="rId92" xr:uid="{FDB23350-4E6A-4811-A390-FF078A8F002A}"/>
    <hyperlink ref="A163:A166" r:id="rId93" xr:uid="{EB7398E2-1C5E-4308-B596-4218CEA29313}"/>
    <hyperlink ref="A168:A174" r:id="rId94" xr:uid="{F8AD1DAA-468B-49C3-84D9-E098891516DC}"/>
    <hyperlink ref="A177:A192" r:id="rId95" xr:uid="{2014E966-4994-4E10-83A4-54FEEC85930E}"/>
    <hyperlink ref="A196:A218" r:id="rId96" xr:uid="{3B7BBF2C-0725-47CF-BBDA-7D6F8F746868}"/>
    <hyperlink ref="A134" r:id="rId97" xr:uid="{B57D209B-1285-4681-9674-50B8E4544777}"/>
    <hyperlink ref="A158" r:id="rId98" xr:uid="{00F28C9D-4AF3-438E-A855-E853A375CD13}"/>
    <hyperlink ref="A157" r:id="rId99" xr:uid="{FF57F075-22EA-4960-8E9C-9A5D7011E682}"/>
    <hyperlink ref="A167" r:id="rId100" xr:uid="{F7B27871-E70F-438B-8CCA-04BA4C67980E}"/>
    <hyperlink ref="A175" r:id="rId101" xr:uid="{616269FF-8C47-46AA-8043-05C92F5EC5F8}"/>
    <hyperlink ref="A176" r:id="rId102" xr:uid="{8DA8D148-D3F3-4677-8C47-AB75F001AB9F}"/>
    <hyperlink ref="A194" r:id="rId103" xr:uid="{34B47AE7-21EB-48E5-9E9B-EE4B15CE7AF9}"/>
    <hyperlink ref="A195" r:id="rId104" xr:uid="{A919EF1E-3E27-44E6-9746-72A91076A809}"/>
    <hyperlink ref="A193" r:id="rId105" xr:uid="{D3A392C8-453C-4E75-A4B5-1D24DA6B2E9E}"/>
    <hyperlink ref="A219" r:id="rId106" xr:uid="{B3AC6687-C5CE-4726-81A2-845F621835FA}"/>
    <hyperlink ref="A220:A221" r:id="rId107" xr:uid="{97B70B4C-B782-4431-BDB8-566D8FDDAD84}"/>
    <hyperlink ref="A223" r:id="rId108" xr:uid="{EAB6E5D5-13D2-4007-B411-CA24D1604FFA}"/>
    <hyperlink ref="A222" r:id="rId109" xr:uid="{0173ADCB-B8E8-4BD4-B04A-5159B9EC8212}"/>
    <hyperlink ref="A224" r:id="rId110" xr:uid="{CABB534C-E367-4E29-A55A-79D24497E35C}"/>
    <hyperlink ref="A225" r:id="rId111" xr:uid="{AC4A8C69-4ECD-4617-9FE5-75D4DDA8B75D}"/>
    <hyperlink ref="A226" r:id="rId112" display="Salvucci and Anderson 1987" xr:uid="{15A93036-804A-4B9F-9E45-31275FD8556B}"/>
    <hyperlink ref="A227" r:id="rId113" display="Drought Stress and Elevated CO2 Effects on Soybean Ribulose Bisphosphate Carboxylase Activity and Canopy Photosynthetic Rates 1 | Plant Physiology | Oxford Academic" xr:uid="{8E418706-A5E2-4529-BF9A-F05E5527605E}"/>
    <hyperlink ref="A228" r:id="rId114" display="Light Adaptation/Acclimation of Photosynthesis and the Regulation of Ribulose-1,5-Bisphosphate Carboxylase Activity in Sun and Shade Plants on JSTOR" xr:uid="{317D78BD-CDA0-4778-910C-C1C91968A1C8}"/>
    <hyperlink ref="A229:A233" r:id="rId115" xr:uid="{81D57FA6-ED93-49F5-BAEC-7DEB82578CB7}"/>
    <hyperlink ref="A234" r:id="rId116" display="Photosynthetic Induction State of Leaves in a Soybean Canopy in Relation to Light Regulation of Ribulose-1-5-Bisphosphate Carboxylase and Stomatal Conductance 1 | Plant Physiology | Oxford Academic" xr:uid="{2F5951EF-AA44-4A35-B55F-0B1FB7440E71}"/>
    <hyperlink ref="A235:A240" r:id="rId117" xr:uid="{EABDC349-EC51-4ABF-8AFB-22CCD24133F6}"/>
    <hyperlink ref="A242:A243" r:id="rId118" display="Dark chilling imposes metabolic restrictions on photosynthesis in soybean - VAN HEERDEN - 2003 - Plant, Cell &amp; Environment - Wiley Online Library" xr:uid="{DAE6BD8B-26B7-426F-A505-A55604A8D4EA}"/>
    <hyperlink ref="A244" r:id="rId119" xr:uid="{E55A3003-8E40-4B12-AEBC-8AA2665D18DA}"/>
    <hyperlink ref="A245:A248" r:id="rId120" xr:uid="{A1FD6BCF-C929-4935-867B-A3D9AB83B6F5}"/>
    <hyperlink ref="A249" r:id="rId121" xr:uid="{8F3B3F3D-3F89-4572-BE38-1A699E8F916C}"/>
    <hyperlink ref="A252:A259" r:id="rId122" xr:uid="{0DB18A2E-C741-46FA-8CD4-7AB6BA007B3F}"/>
    <hyperlink ref="A260" r:id="rId123" xr:uid="{1DE36E2F-0575-4E48-AEDB-17311A243F8E}"/>
    <hyperlink ref="A261" r:id="rId124" xr:uid="{B8EAE8F2-A755-4220-BDCB-8385920197C7}"/>
    <hyperlink ref="A262:A265" r:id="rId125" xr:uid="{C9DFFDC8-58AC-423F-969D-2D813C9C2CD2}"/>
    <hyperlink ref="A266" r:id="rId126" xr:uid="{858A06F8-AFEE-48B6-8695-51955E8E5748}"/>
    <hyperlink ref="A267" r:id="rId127" xr:uid="{7B248E92-70FC-43B6-B043-3BA32EA5C7FB}"/>
    <hyperlink ref="A268" r:id="rId128" xr:uid="{8818DD30-A581-4EFB-B4A8-754BC21E2718}"/>
    <hyperlink ref="A269" r:id="rId129" xr:uid="{BF5E4933-29A9-40AE-A654-5438D04D4538}"/>
    <hyperlink ref="A270" r:id="rId130" xr:uid="{1F9E9164-DE60-4485-A8B0-D88D09103989}"/>
    <hyperlink ref="A271" r:id="rId131" display="Kobza and Seemann 1988" xr:uid="{AEDCB1BF-E6DB-4068-8040-0DF7EE8D0DD3}"/>
    <hyperlink ref="A272:A275" r:id="rId132" xr:uid="{52050867-3A70-421B-9863-D44FD3CF4D7C}"/>
    <hyperlink ref="A276" r:id="rId133" xr:uid="{81EC3C8F-3EBF-4FF4-80CD-458156204E5D}"/>
    <hyperlink ref="A277:A298" r:id="rId134" xr:uid="{8041D296-30AD-4A88-9E3B-0BA8EBBBBDAA}"/>
    <hyperlink ref="A299" r:id="rId135" xr:uid="{0BEB2433-DCC1-4E41-A20E-C40EAB355507}"/>
    <hyperlink ref="A300" r:id="rId136" xr:uid="{E6D1CB68-F0A6-4DEC-B840-3BC51C59B225}"/>
    <hyperlink ref="A301:A306" r:id="rId137" xr:uid="{1487ED7A-0F96-4FC1-A8E8-D2A4B52417B4}"/>
    <hyperlink ref="A307:A309" r:id="rId138" xr:uid="{F3FE9D48-1B2B-442B-A58B-43553BB90967}"/>
    <hyperlink ref="A310" r:id="rId139" display="https://www.publish.csiro.au/fp/PP01212" xr:uid="{21ACD8B8-5499-43DB-81B8-AEF7405BE81B}"/>
    <hyperlink ref="A311" r:id="rId140" display="Light and CO2 Response of Ribulose-1,5-Bisphosphate Carboxylase/Oxygenase Activation in Arabidopsis Leaves | Plant Physiology | Oxford Academic" xr:uid="{3E4C67C6-9F12-4D53-9282-F555AF10FAEB}"/>
    <hyperlink ref="A312" r:id="rId141" display="Protein-Bound Ribulose Bisphosphate Correlates with Deactivation of Ribulose Bisphosphate Carboxylase in Leaves 1 | Plant Physiology | Oxford Academic" xr:uid="{DE5DC5C2-1ECA-4360-8190-B13BC2E9AE83}"/>
    <hyperlink ref="A313:A314" r:id="rId142" display="Regulatory Properties of Rubisco Activase Differ among Species and Affect Photosynthetic Induction during Light Transitions     | Plant Physiology | Oxford Academic" xr:uid="{F662EB25-F0A9-445F-98BA-4BDDF417DAF0}"/>
    <hyperlink ref="A315" r:id="rId143" xr:uid="{BB198FA5-A4B3-49B8-9B80-CB35CE7FAB99}"/>
    <hyperlink ref="A316:A327" r:id="rId144" xr:uid="{08ED9CE3-F6C9-4CFC-BF3E-18619D5C2727}"/>
    <hyperlink ref="A328" r:id="rId145" display="Increase in Rubisco activity and gene expression due to elevated temperature partially counteracts ultraviolet radiation–induced photoinhibition in the marine diatom Thalassiosira weissflogii - Helbling - 2011 - Limnology and Oceanography - Wiley Online Library" xr:uid="{C6545A28-B2E4-48F4-9A8E-119D7DAA8912}"/>
    <hyperlink ref="A329" r:id="rId146" display="Diurnal changes of Rubisco in response to elevated CO2, temperature and nitrogen in wheat grown under temperature gradient tunnels - ScienceDirect" xr:uid="{BF3415A5-AD7B-453C-91C2-FE1BBF0E526F}"/>
    <hyperlink ref="A331" r:id="rId147" display="Besford" xr:uid="{F332CD9D-5A5F-441F-8086-2CC1EB23FC0A}"/>
    <hyperlink ref="A332:A333" r:id="rId148" display="1" xr:uid="{3F8FC6FA-4373-4256-B825-189D3DD48B7E}"/>
    <hyperlink ref="A334" r:id="rId149" display="Description and applications of a rapid and sensitive non‐radioactive microplate‐based assay for maximum and initial activity of D‐ribulose‐1,5‐bisphosphate carboxylase/oxygenase - SULPICE - 2007 - Plant, Cell &amp; Environment - Wiley Online Library" xr:uid="{5DA92F15-417B-4718-ABEE-9F3697FBACCA}"/>
  </hyperlinks>
  <pageMargins left="0.7" right="0.7" top="0.75" bottom="0.75" header="0.3" footer="0.3"/>
  <pageSetup orientation="portrait" r:id="rId150"/>
  <legacyDrawing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5572-597C-4554-ACC5-90F357A25150}">
  <dimension ref="A1:AN268"/>
  <sheetViews>
    <sheetView tabSelected="1" topLeftCell="G155" workbookViewId="0">
      <selection activeCell="AT250" sqref="AT250"/>
    </sheetView>
  </sheetViews>
  <sheetFormatPr defaultRowHeight="14.45"/>
  <cols>
    <col min="1" max="1" width="5.5703125" customWidth="1"/>
    <col min="2" max="2" width="19.7109375" bestFit="1" customWidth="1"/>
    <col min="3" max="3" width="6.140625" customWidth="1"/>
    <col min="4" max="4" width="21" bestFit="1" customWidth="1"/>
    <col min="5" max="5" width="4.85546875" customWidth="1"/>
    <col min="6" max="6" width="22.5703125" bestFit="1" customWidth="1"/>
    <col min="7" max="7" width="4.85546875" customWidth="1"/>
    <col min="8" max="8" width="22.5703125" bestFit="1" customWidth="1"/>
    <col min="9" max="9" width="6.28515625" customWidth="1"/>
    <col min="10" max="10" width="14.85546875" customWidth="1"/>
    <col min="11" max="11" width="5.28515625" customWidth="1"/>
    <col min="12" max="12" width="32" customWidth="1"/>
    <col min="13" max="13" width="25" customWidth="1"/>
    <col min="14" max="14" width="24" bestFit="1" customWidth="1"/>
    <col min="15" max="15" width="10" customWidth="1"/>
    <col min="18" max="18" width="8.42578125" customWidth="1"/>
    <col min="22" max="22" width="19.7109375" bestFit="1" customWidth="1"/>
    <col min="23" max="23" width="16.7109375" bestFit="1" customWidth="1"/>
    <col min="24" max="24" width="23.5703125" bestFit="1" customWidth="1"/>
    <col min="25" max="25" width="15.28515625" bestFit="1" customWidth="1"/>
    <col min="26" max="26" width="20.42578125" bestFit="1" customWidth="1"/>
    <col min="27" max="27" width="29" customWidth="1"/>
    <col min="28" max="28" width="9.140625" style="9" customWidth="1"/>
    <col min="29" max="29" width="9.140625" style="10"/>
    <col min="32" max="32" width="6.28515625" bestFit="1" customWidth="1"/>
    <col min="33" max="33" width="15.28515625" bestFit="1" customWidth="1"/>
    <col min="34" max="34" width="31.7109375" bestFit="1" customWidth="1"/>
    <col min="35" max="35" width="12.28515625" customWidth="1"/>
    <col min="37" max="37" width="4.7109375" customWidth="1"/>
    <col min="38" max="38" width="10.85546875" customWidth="1"/>
    <col min="39" max="39" width="20.85546875" style="12" customWidth="1"/>
    <col min="40" max="40" width="9.140625" customWidth="1"/>
    <col min="41" max="41" width="4.42578125" customWidth="1"/>
    <col min="42" max="42" width="10" customWidth="1"/>
    <col min="43" max="43" width="22.85546875" customWidth="1"/>
    <col min="44" max="44" width="9.42578125" customWidth="1"/>
  </cols>
  <sheetData>
    <row r="1" spans="1:29" ht="15">
      <c r="A1" s="8" t="s">
        <v>607</v>
      </c>
      <c r="B1" s="8" t="s">
        <v>8</v>
      </c>
      <c r="C1" s="8" t="s">
        <v>608</v>
      </c>
      <c r="D1" s="8" t="s">
        <v>9</v>
      </c>
      <c r="E1" s="8" t="s">
        <v>609</v>
      </c>
      <c r="F1" s="8" t="s">
        <v>10</v>
      </c>
      <c r="G1" s="8" t="s">
        <v>610</v>
      </c>
      <c r="H1" s="8" t="s">
        <v>11</v>
      </c>
      <c r="I1" s="8" t="s">
        <v>611</v>
      </c>
      <c r="J1" s="8" t="s">
        <v>12</v>
      </c>
      <c r="K1" s="8" t="s">
        <v>612</v>
      </c>
      <c r="L1" s="8" t="s">
        <v>13</v>
      </c>
      <c r="M1" t="s">
        <v>613</v>
      </c>
      <c r="N1" t="s">
        <v>614</v>
      </c>
      <c r="O1" s="11" t="s">
        <v>15</v>
      </c>
      <c r="R1" s="33" t="s">
        <v>615</v>
      </c>
      <c r="S1" s="33"/>
      <c r="T1" s="33"/>
      <c r="U1" s="33"/>
      <c r="V1" s="33"/>
      <c r="W1" s="33"/>
      <c r="X1" s="33"/>
      <c r="Y1" s="33"/>
      <c r="AB1"/>
      <c r="AC1"/>
    </row>
    <row r="2" spans="1:29" ht="23.25">
      <c r="A2">
        <v>-1</v>
      </c>
      <c r="B2" t="s">
        <v>41</v>
      </c>
      <c r="C2">
        <v>1</v>
      </c>
      <c r="D2" t="s">
        <v>42</v>
      </c>
      <c r="E2">
        <v>0</v>
      </c>
      <c r="F2" t="s">
        <v>616</v>
      </c>
      <c r="G2">
        <v>0</v>
      </c>
      <c r="H2" t="s">
        <v>616</v>
      </c>
      <c r="I2">
        <v>1</v>
      </c>
      <c r="J2" t="s">
        <v>617</v>
      </c>
      <c r="K2">
        <v>0</v>
      </c>
      <c r="L2" t="s">
        <v>44</v>
      </c>
      <c r="M2" s="9">
        <v>0.50406504065040658</v>
      </c>
      <c r="N2" s="9" t="e">
        <v>#DIV/0!</v>
      </c>
      <c r="O2" t="str">
        <f t="shared" ref="O2:O33" si="0">IF(M2&lt;0.18,"Low",IF(M2&lt;0.44,"Moderate",IF(M2&lt;0.77,"High", "Very High")))</f>
        <v>High</v>
      </c>
      <c r="R2" s="19" t="s">
        <v>8</v>
      </c>
      <c r="S2" s="19" t="s">
        <v>11</v>
      </c>
      <c r="T2" s="19" t="s">
        <v>13</v>
      </c>
      <c r="U2" s="20" t="s">
        <v>618</v>
      </c>
      <c r="V2" s="19" t="s">
        <v>8</v>
      </c>
      <c r="W2" s="19" t="s">
        <v>11</v>
      </c>
      <c r="X2" s="19" t="s">
        <v>13</v>
      </c>
      <c r="Y2" s="20" t="s">
        <v>618</v>
      </c>
      <c r="AB2"/>
      <c r="AC2"/>
    </row>
    <row r="3" spans="1:29" ht="15">
      <c r="A3">
        <v>0</v>
      </c>
      <c r="B3" t="s">
        <v>52</v>
      </c>
      <c r="C3">
        <v>1</v>
      </c>
      <c r="D3" t="s">
        <v>53</v>
      </c>
      <c r="E3">
        <v>0</v>
      </c>
      <c r="F3" t="s">
        <v>616</v>
      </c>
      <c r="G3">
        <v>0</v>
      </c>
      <c r="H3" t="s">
        <v>616</v>
      </c>
      <c r="I3">
        <v>1</v>
      </c>
      <c r="J3" t="s">
        <v>619</v>
      </c>
      <c r="K3">
        <v>0</v>
      </c>
      <c r="L3" t="s">
        <v>54</v>
      </c>
      <c r="M3" s="9">
        <v>0.68833075321624948</v>
      </c>
      <c r="N3" s="9" t="e">
        <v>#DIV/0!</v>
      </c>
      <c r="O3" t="str">
        <f t="shared" si="0"/>
        <v>High</v>
      </c>
      <c r="R3" s="16" t="s">
        <v>620</v>
      </c>
      <c r="S3" s="16" t="s">
        <v>616</v>
      </c>
      <c r="T3" s="17" t="s">
        <v>62</v>
      </c>
      <c r="U3" s="18" t="s">
        <v>621</v>
      </c>
      <c r="V3" s="13" t="s">
        <v>622</v>
      </c>
      <c r="W3" s="13" t="s">
        <v>616</v>
      </c>
      <c r="X3" s="14" t="s">
        <v>244</v>
      </c>
      <c r="Y3" s="15" t="s">
        <v>623</v>
      </c>
      <c r="AB3"/>
      <c r="AC3"/>
    </row>
    <row r="4" spans="1:29" ht="23.25">
      <c r="A4">
        <v>5</v>
      </c>
      <c r="B4" t="s">
        <v>60</v>
      </c>
      <c r="C4">
        <v>3</v>
      </c>
      <c r="D4" t="s">
        <v>61</v>
      </c>
      <c r="E4">
        <v>1</v>
      </c>
      <c r="F4" t="s">
        <v>616</v>
      </c>
      <c r="G4">
        <v>1</v>
      </c>
      <c r="H4" t="s">
        <v>616</v>
      </c>
      <c r="I4">
        <v>1</v>
      </c>
      <c r="J4" t="s">
        <v>624</v>
      </c>
      <c r="K4">
        <v>0</v>
      </c>
      <c r="L4" t="s">
        <v>62</v>
      </c>
      <c r="M4" s="9">
        <v>0.83767462458231012</v>
      </c>
      <c r="N4" s="9" t="e">
        <v>#DIV/0!</v>
      </c>
      <c r="O4" t="str">
        <f t="shared" si="0"/>
        <v>Very High</v>
      </c>
      <c r="R4" s="13" t="s">
        <v>625</v>
      </c>
      <c r="S4" s="13" t="s">
        <v>616</v>
      </c>
      <c r="T4" s="14" t="s">
        <v>72</v>
      </c>
      <c r="U4" s="15" t="s">
        <v>626</v>
      </c>
      <c r="V4" s="13" t="s">
        <v>622</v>
      </c>
      <c r="W4" s="13" t="s">
        <v>246</v>
      </c>
      <c r="X4" s="14" t="s">
        <v>247</v>
      </c>
      <c r="Y4" s="15" t="s">
        <v>627</v>
      </c>
      <c r="AB4"/>
      <c r="AC4"/>
    </row>
    <row r="5" spans="1:29" ht="23.25">
      <c r="A5">
        <v>13</v>
      </c>
      <c r="B5" t="s">
        <v>69</v>
      </c>
      <c r="C5">
        <v>11</v>
      </c>
      <c r="D5" t="s">
        <v>70</v>
      </c>
      <c r="E5">
        <v>4</v>
      </c>
      <c r="F5" t="s">
        <v>71</v>
      </c>
      <c r="G5">
        <v>0</v>
      </c>
      <c r="H5" t="s">
        <v>616</v>
      </c>
      <c r="I5">
        <v>1</v>
      </c>
      <c r="J5" t="s">
        <v>628</v>
      </c>
      <c r="K5">
        <v>0</v>
      </c>
      <c r="L5" t="s">
        <v>72</v>
      </c>
      <c r="M5" s="9">
        <v>-7.2335025380710696E-2</v>
      </c>
      <c r="N5" s="9" t="e">
        <v>#DIV/0!</v>
      </c>
      <c r="O5" t="str">
        <f t="shared" si="0"/>
        <v>Low</v>
      </c>
      <c r="R5" s="13" t="s">
        <v>625</v>
      </c>
      <c r="S5" s="13" t="s">
        <v>80</v>
      </c>
      <c r="T5" s="14" t="s">
        <v>81</v>
      </c>
      <c r="U5" s="15" t="s">
        <v>629</v>
      </c>
      <c r="V5" s="13" t="s">
        <v>622</v>
      </c>
      <c r="W5" s="13" t="s">
        <v>259</v>
      </c>
      <c r="X5" s="14" t="s">
        <v>260</v>
      </c>
      <c r="Y5" s="15" t="s">
        <v>630</v>
      </c>
      <c r="AB5"/>
      <c r="AC5"/>
    </row>
    <row r="6" spans="1:29" ht="34.5">
      <c r="A6">
        <v>13</v>
      </c>
      <c r="B6" t="s">
        <v>69</v>
      </c>
      <c r="C6">
        <v>13</v>
      </c>
      <c r="D6" t="s">
        <v>78</v>
      </c>
      <c r="E6">
        <v>8</v>
      </c>
      <c r="F6" t="s">
        <v>79</v>
      </c>
      <c r="G6">
        <v>0</v>
      </c>
      <c r="H6" t="s">
        <v>80</v>
      </c>
      <c r="I6">
        <v>22</v>
      </c>
      <c r="J6" t="s">
        <v>631</v>
      </c>
      <c r="K6">
        <v>0</v>
      </c>
      <c r="L6" t="s">
        <v>81</v>
      </c>
      <c r="M6" s="9">
        <v>0.38937006985449241</v>
      </c>
      <c r="N6" s="9">
        <v>5.4466356844154289E-4</v>
      </c>
      <c r="O6" t="str">
        <f t="shared" si="0"/>
        <v>Moderate</v>
      </c>
      <c r="R6" s="13" t="s">
        <v>632</v>
      </c>
      <c r="S6" s="13" t="s">
        <v>94</v>
      </c>
      <c r="T6" s="14" t="s">
        <v>95</v>
      </c>
      <c r="U6" s="15" t="s">
        <v>633</v>
      </c>
      <c r="V6" s="13" t="s">
        <v>622</v>
      </c>
      <c r="W6" s="13" t="s">
        <v>266</v>
      </c>
      <c r="X6" s="14" t="s">
        <v>267</v>
      </c>
      <c r="Y6" s="15" t="s">
        <v>634</v>
      </c>
      <c r="AB6"/>
      <c r="AC6"/>
    </row>
    <row r="7" spans="1:29" ht="23.25">
      <c r="A7">
        <v>14</v>
      </c>
      <c r="B7" t="s">
        <v>91</v>
      </c>
      <c r="C7">
        <v>1</v>
      </c>
      <c r="D7" t="s">
        <v>92</v>
      </c>
      <c r="E7">
        <v>5</v>
      </c>
      <c r="F7" t="s">
        <v>93</v>
      </c>
      <c r="G7">
        <v>0</v>
      </c>
      <c r="H7" t="s">
        <v>94</v>
      </c>
      <c r="I7">
        <v>111</v>
      </c>
      <c r="J7" t="s">
        <v>635</v>
      </c>
      <c r="K7">
        <v>0</v>
      </c>
      <c r="L7" t="s">
        <v>95</v>
      </c>
      <c r="M7" s="9">
        <v>0.16664234375570064</v>
      </c>
      <c r="N7" s="9" t="e">
        <v>#DIV/0!</v>
      </c>
      <c r="O7" t="str">
        <f t="shared" si="0"/>
        <v>Low</v>
      </c>
      <c r="R7" s="13" t="s">
        <v>636</v>
      </c>
      <c r="S7" s="13" t="s">
        <v>616</v>
      </c>
      <c r="T7" s="14" t="s">
        <v>103</v>
      </c>
      <c r="U7" s="15" t="s">
        <v>637</v>
      </c>
      <c r="V7" s="13" t="s">
        <v>622</v>
      </c>
      <c r="W7" s="13" t="s">
        <v>266</v>
      </c>
      <c r="X7" s="14" t="s">
        <v>271</v>
      </c>
      <c r="Y7" s="15" t="s">
        <v>638</v>
      </c>
      <c r="AB7"/>
      <c r="AC7"/>
    </row>
    <row r="8" spans="1:29" ht="23.25">
      <c r="A8">
        <v>20</v>
      </c>
      <c r="B8" t="s">
        <v>100</v>
      </c>
      <c r="C8">
        <v>2</v>
      </c>
      <c r="D8" t="s">
        <v>101</v>
      </c>
      <c r="E8">
        <v>8</v>
      </c>
      <c r="F8" t="s">
        <v>102</v>
      </c>
      <c r="G8">
        <v>0</v>
      </c>
      <c r="H8" t="s">
        <v>616</v>
      </c>
      <c r="I8">
        <v>1</v>
      </c>
      <c r="J8" t="s">
        <v>639</v>
      </c>
      <c r="K8">
        <v>0</v>
      </c>
      <c r="L8" t="s">
        <v>103</v>
      </c>
      <c r="M8" s="9">
        <v>0.96465222348916768</v>
      </c>
      <c r="N8" s="9" t="e">
        <v>#DIV/0!</v>
      </c>
      <c r="O8" t="str">
        <f t="shared" si="0"/>
        <v>Very High</v>
      </c>
      <c r="R8" s="13" t="s">
        <v>636</v>
      </c>
      <c r="S8" s="13" t="s">
        <v>616</v>
      </c>
      <c r="T8" s="14" t="s">
        <v>104</v>
      </c>
      <c r="U8" s="15" t="s">
        <v>640</v>
      </c>
      <c r="V8" s="13" t="s">
        <v>622</v>
      </c>
      <c r="W8" s="13" t="s">
        <v>616</v>
      </c>
      <c r="X8" s="14" t="s">
        <v>274</v>
      </c>
      <c r="Y8" s="15" t="s">
        <v>641</v>
      </c>
      <c r="AB8"/>
      <c r="AC8"/>
    </row>
    <row r="9" spans="1:29" ht="23.25">
      <c r="A9">
        <v>20</v>
      </c>
      <c r="B9" t="s">
        <v>100</v>
      </c>
      <c r="C9">
        <v>2</v>
      </c>
      <c r="E9">
        <v>8</v>
      </c>
      <c r="G9">
        <v>0</v>
      </c>
      <c r="I9">
        <v>4</v>
      </c>
      <c r="J9" t="s">
        <v>642</v>
      </c>
      <c r="K9">
        <v>0</v>
      </c>
      <c r="L9" t="s">
        <v>104</v>
      </c>
      <c r="M9" s="9">
        <v>0.97122302158273377</v>
      </c>
      <c r="N9" s="9" t="e">
        <v>#DIV/0!</v>
      </c>
      <c r="O9" t="str">
        <f t="shared" si="0"/>
        <v>Very High</v>
      </c>
      <c r="R9" s="13" t="s">
        <v>636</v>
      </c>
      <c r="S9" s="13" t="s">
        <v>108</v>
      </c>
      <c r="T9" s="14" t="s">
        <v>109</v>
      </c>
      <c r="U9" s="15" t="s">
        <v>643</v>
      </c>
      <c r="V9" s="13" t="s">
        <v>622</v>
      </c>
      <c r="W9" s="13" t="s">
        <v>616</v>
      </c>
      <c r="X9" s="14" t="s">
        <v>276</v>
      </c>
      <c r="Y9" s="15" t="s">
        <v>644</v>
      </c>
      <c r="AB9"/>
      <c r="AC9"/>
    </row>
    <row r="10" spans="1:29" ht="15">
      <c r="A10">
        <v>20</v>
      </c>
      <c r="B10" t="s">
        <v>100</v>
      </c>
      <c r="C10">
        <v>4</v>
      </c>
      <c r="D10" t="s">
        <v>106</v>
      </c>
      <c r="E10">
        <v>2</v>
      </c>
      <c r="F10" t="s">
        <v>107</v>
      </c>
      <c r="G10">
        <v>22</v>
      </c>
      <c r="H10" t="s">
        <v>108</v>
      </c>
      <c r="I10">
        <v>1</v>
      </c>
      <c r="J10" t="s">
        <v>645</v>
      </c>
      <c r="K10">
        <v>0</v>
      </c>
      <c r="L10" t="s">
        <v>109</v>
      </c>
      <c r="M10" s="9">
        <v>-5.0000000000000044E-2</v>
      </c>
      <c r="N10" s="9" t="e">
        <v>#DIV/0!</v>
      </c>
      <c r="O10" t="str">
        <f t="shared" si="0"/>
        <v>Low</v>
      </c>
      <c r="R10" s="13" t="s">
        <v>636</v>
      </c>
      <c r="S10" s="13" t="s">
        <v>108</v>
      </c>
      <c r="T10" s="14" t="s">
        <v>113</v>
      </c>
      <c r="U10" s="15" t="s">
        <v>646</v>
      </c>
      <c r="V10" s="13" t="s">
        <v>622</v>
      </c>
      <c r="W10" s="13" t="s">
        <v>616</v>
      </c>
      <c r="X10" s="14" t="s">
        <v>277</v>
      </c>
      <c r="Y10" s="15" t="s">
        <v>647</v>
      </c>
      <c r="AB10"/>
      <c r="AC10"/>
    </row>
    <row r="11" spans="1:29" ht="15">
      <c r="A11">
        <v>20</v>
      </c>
      <c r="B11" t="s">
        <v>100</v>
      </c>
      <c r="C11">
        <v>4</v>
      </c>
      <c r="E11">
        <v>2</v>
      </c>
      <c r="G11">
        <v>22</v>
      </c>
      <c r="I11">
        <v>1</v>
      </c>
      <c r="K11">
        <v>0</v>
      </c>
      <c r="L11" t="s">
        <v>113</v>
      </c>
      <c r="M11" s="9">
        <v>0.11</v>
      </c>
      <c r="N11" s="9" t="e">
        <v>#DIV/0!</v>
      </c>
      <c r="O11" t="str">
        <f t="shared" si="0"/>
        <v>Low</v>
      </c>
      <c r="R11" s="13" t="s">
        <v>636</v>
      </c>
      <c r="S11" s="13" t="s">
        <v>120</v>
      </c>
      <c r="T11" s="14" t="s">
        <v>121</v>
      </c>
      <c r="U11" s="15" t="s">
        <v>648</v>
      </c>
      <c r="V11" s="13" t="s">
        <v>649</v>
      </c>
      <c r="W11" s="13" t="s">
        <v>616</v>
      </c>
      <c r="X11" s="14" t="s">
        <v>281</v>
      </c>
      <c r="Y11" s="15" t="s">
        <v>650</v>
      </c>
      <c r="AB11"/>
      <c r="AC11"/>
    </row>
    <row r="12" spans="1:29" ht="23.25">
      <c r="A12">
        <v>20</v>
      </c>
      <c r="B12" t="s">
        <v>100</v>
      </c>
      <c r="C12">
        <v>14</v>
      </c>
      <c r="D12" t="s">
        <v>118</v>
      </c>
      <c r="E12">
        <v>4</v>
      </c>
      <c r="F12" t="s">
        <v>119</v>
      </c>
      <c r="G12">
        <v>1</v>
      </c>
      <c r="H12" t="s">
        <v>120</v>
      </c>
      <c r="I12">
        <v>6</v>
      </c>
      <c r="J12" t="s">
        <v>651</v>
      </c>
      <c r="K12">
        <v>0</v>
      </c>
      <c r="L12" t="s">
        <v>121</v>
      </c>
      <c r="M12" s="9">
        <v>0.48292621636379479</v>
      </c>
      <c r="N12" s="9">
        <v>0.17770183410229309</v>
      </c>
      <c r="O12" t="str">
        <f t="shared" si="0"/>
        <v>High</v>
      </c>
      <c r="R12" s="13" t="s">
        <v>636</v>
      </c>
      <c r="S12" s="13" t="s">
        <v>139</v>
      </c>
      <c r="T12" s="14" t="s">
        <v>140</v>
      </c>
      <c r="U12" s="15" t="s">
        <v>652</v>
      </c>
      <c r="V12" s="13" t="s">
        <v>649</v>
      </c>
      <c r="W12" s="13" t="s">
        <v>616</v>
      </c>
      <c r="X12" s="14" t="s">
        <v>283</v>
      </c>
      <c r="Y12" s="15" t="s">
        <v>653</v>
      </c>
      <c r="AB12"/>
      <c r="AC12"/>
    </row>
    <row r="13" spans="1:29" ht="23.25">
      <c r="A13">
        <v>20</v>
      </c>
      <c r="B13" t="s">
        <v>100</v>
      </c>
      <c r="C13">
        <v>14</v>
      </c>
      <c r="E13">
        <v>6</v>
      </c>
      <c r="F13" t="s">
        <v>138</v>
      </c>
      <c r="G13">
        <v>4</v>
      </c>
      <c r="H13" t="s">
        <v>139</v>
      </c>
      <c r="I13">
        <v>19</v>
      </c>
      <c r="J13" t="s">
        <v>654</v>
      </c>
      <c r="K13">
        <v>0</v>
      </c>
      <c r="L13" t="s">
        <v>140</v>
      </c>
      <c r="M13" s="9">
        <v>2.6666666666666505E-2</v>
      </c>
      <c r="N13" s="9" t="e">
        <v>#DIV/0!</v>
      </c>
      <c r="O13" t="str">
        <f t="shared" si="0"/>
        <v>Low</v>
      </c>
      <c r="R13" s="13" t="s">
        <v>636</v>
      </c>
      <c r="S13" s="13" t="s">
        <v>139</v>
      </c>
      <c r="T13" s="14" t="s">
        <v>141</v>
      </c>
      <c r="U13" s="15" t="s">
        <v>655</v>
      </c>
      <c r="V13" s="13" t="s">
        <v>649</v>
      </c>
      <c r="W13" s="13" t="s">
        <v>616</v>
      </c>
      <c r="X13" s="14" t="s">
        <v>285</v>
      </c>
      <c r="Y13" s="15" t="s">
        <v>656</v>
      </c>
      <c r="AB13"/>
      <c r="AC13"/>
    </row>
    <row r="14" spans="1:29" ht="23.25">
      <c r="A14">
        <v>20</v>
      </c>
      <c r="B14" t="s">
        <v>100</v>
      </c>
      <c r="C14">
        <v>14</v>
      </c>
      <c r="E14">
        <v>6</v>
      </c>
      <c r="G14">
        <v>4</v>
      </c>
      <c r="I14">
        <v>22</v>
      </c>
      <c r="J14" t="s">
        <v>657</v>
      </c>
      <c r="K14">
        <v>0</v>
      </c>
      <c r="L14" t="s">
        <v>141</v>
      </c>
      <c r="M14" s="9">
        <v>-1.1526639344262294E-2</v>
      </c>
      <c r="N14" s="9">
        <v>1.6301129689239056E-2</v>
      </c>
      <c r="O14" t="str">
        <f t="shared" si="0"/>
        <v>Low</v>
      </c>
      <c r="R14" s="13" t="s">
        <v>636</v>
      </c>
      <c r="S14" s="13" t="s">
        <v>144</v>
      </c>
      <c r="T14" s="14" t="s">
        <v>145</v>
      </c>
      <c r="U14" s="15" t="s">
        <v>658</v>
      </c>
      <c r="V14" s="13" t="s">
        <v>649</v>
      </c>
      <c r="W14" s="13" t="s">
        <v>295</v>
      </c>
      <c r="X14" s="14" t="s">
        <v>296</v>
      </c>
      <c r="Y14" s="15" t="s">
        <v>659</v>
      </c>
      <c r="AB14"/>
      <c r="AC14"/>
    </row>
    <row r="15" spans="1:29" ht="23.25">
      <c r="A15">
        <v>20</v>
      </c>
      <c r="B15" t="s">
        <v>100</v>
      </c>
      <c r="C15">
        <v>14</v>
      </c>
      <c r="E15">
        <v>11</v>
      </c>
      <c r="F15" t="s">
        <v>143</v>
      </c>
      <c r="G15">
        <v>2</v>
      </c>
      <c r="H15" t="s">
        <v>144</v>
      </c>
      <c r="I15">
        <v>2</v>
      </c>
      <c r="J15" t="s">
        <v>660</v>
      </c>
      <c r="K15">
        <v>0</v>
      </c>
      <c r="L15" t="s">
        <v>145</v>
      </c>
      <c r="M15" s="9">
        <v>0.27135593220338983</v>
      </c>
      <c r="N15" s="9">
        <v>1.2224557912038858E-2</v>
      </c>
      <c r="O15" t="str">
        <f t="shared" si="0"/>
        <v>Moderate</v>
      </c>
      <c r="R15" s="13" t="s">
        <v>636</v>
      </c>
      <c r="S15" s="13" t="s">
        <v>151</v>
      </c>
      <c r="T15" s="14" t="s">
        <v>152</v>
      </c>
      <c r="U15" s="15" t="s">
        <v>661</v>
      </c>
      <c r="V15" s="13" t="s">
        <v>662</v>
      </c>
      <c r="W15" s="13" t="s">
        <v>300</v>
      </c>
      <c r="X15" s="14" t="s">
        <v>301</v>
      </c>
      <c r="Y15" s="15" t="s">
        <v>663</v>
      </c>
      <c r="AB15"/>
      <c r="AC15"/>
    </row>
    <row r="16" spans="1:29" ht="23.25">
      <c r="A16">
        <v>20</v>
      </c>
      <c r="B16" t="s">
        <v>100</v>
      </c>
      <c r="C16">
        <v>14</v>
      </c>
      <c r="E16">
        <v>11</v>
      </c>
      <c r="G16">
        <v>3</v>
      </c>
      <c r="H16" t="s">
        <v>151</v>
      </c>
      <c r="I16">
        <v>79</v>
      </c>
      <c r="J16" t="s">
        <v>664</v>
      </c>
      <c r="K16">
        <v>0</v>
      </c>
      <c r="L16" t="s">
        <v>152</v>
      </c>
      <c r="M16" s="9">
        <v>1.1098265895953717E-2</v>
      </c>
      <c r="N16" s="9">
        <v>9.7441766840967073E-2</v>
      </c>
      <c r="O16" t="str">
        <f t="shared" si="0"/>
        <v>Low</v>
      </c>
      <c r="R16" s="13" t="s">
        <v>636</v>
      </c>
      <c r="S16" s="13" t="s">
        <v>155</v>
      </c>
      <c r="T16" s="14" t="s">
        <v>157</v>
      </c>
      <c r="U16" s="15" t="s">
        <v>665</v>
      </c>
      <c r="V16" s="13" t="s">
        <v>666</v>
      </c>
      <c r="W16" s="13" t="s">
        <v>305</v>
      </c>
      <c r="X16" s="14" t="s">
        <v>306</v>
      </c>
      <c r="Y16" s="15" t="s">
        <v>667</v>
      </c>
      <c r="AB16"/>
      <c r="AC16"/>
    </row>
    <row r="17" spans="1:29" ht="23.25">
      <c r="A17">
        <v>20</v>
      </c>
      <c r="B17" t="s">
        <v>100</v>
      </c>
      <c r="C17">
        <v>14</v>
      </c>
      <c r="E17">
        <v>12</v>
      </c>
      <c r="F17" t="s">
        <v>154</v>
      </c>
      <c r="G17">
        <v>3</v>
      </c>
      <c r="H17" t="s">
        <v>155</v>
      </c>
      <c r="I17">
        <v>18</v>
      </c>
      <c r="J17" t="s">
        <v>668</v>
      </c>
      <c r="K17">
        <v>0</v>
      </c>
      <c r="L17" t="s">
        <v>157</v>
      </c>
      <c r="M17" s="9">
        <v>0.28249885163068444</v>
      </c>
      <c r="N17" s="9" t="e">
        <v>#DIV/0!</v>
      </c>
      <c r="O17" t="str">
        <f t="shared" si="0"/>
        <v>Moderate</v>
      </c>
      <c r="R17" s="13" t="s">
        <v>636</v>
      </c>
      <c r="S17" s="13" t="s">
        <v>155</v>
      </c>
      <c r="T17" s="14" t="s">
        <v>158</v>
      </c>
      <c r="U17" s="15" t="s">
        <v>669</v>
      </c>
      <c r="V17" s="13" t="s">
        <v>666</v>
      </c>
      <c r="W17" s="13" t="s">
        <v>307</v>
      </c>
      <c r="X17" s="14" t="s">
        <v>308</v>
      </c>
      <c r="Y17" s="15" t="s">
        <v>670</v>
      </c>
      <c r="AB17"/>
      <c r="AC17"/>
    </row>
    <row r="18" spans="1:29" ht="23.25">
      <c r="A18">
        <v>20</v>
      </c>
      <c r="B18" t="s">
        <v>100</v>
      </c>
      <c r="C18">
        <v>14</v>
      </c>
      <c r="E18">
        <v>12</v>
      </c>
      <c r="G18">
        <v>3</v>
      </c>
      <c r="I18">
        <v>18</v>
      </c>
      <c r="K18">
        <v>0</v>
      </c>
      <c r="L18" t="s">
        <v>158</v>
      </c>
      <c r="M18" s="9">
        <v>-1.1295938104448689E-2</v>
      </c>
      <c r="N18" s="9">
        <v>4.0593673627885435E-2</v>
      </c>
      <c r="O18" t="str">
        <f t="shared" si="0"/>
        <v>Low</v>
      </c>
      <c r="R18" s="13" t="s">
        <v>636</v>
      </c>
      <c r="S18" s="13" t="s">
        <v>155</v>
      </c>
      <c r="T18" s="14" t="s">
        <v>156</v>
      </c>
      <c r="U18" s="15" t="s">
        <v>671</v>
      </c>
      <c r="V18" s="13" t="s">
        <v>672</v>
      </c>
      <c r="W18" s="13" t="s">
        <v>311</v>
      </c>
      <c r="X18" s="14" t="s">
        <v>312</v>
      </c>
      <c r="Y18" s="15" t="s">
        <v>673</v>
      </c>
      <c r="AB18"/>
      <c r="AC18"/>
    </row>
    <row r="19" spans="1:29" ht="23.25">
      <c r="A19">
        <v>20</v>
      </c>
      <c r="B19" t="s">
        <v>100</v>
      </c>
      <c r="C19">
        <v>14</v>
      </c>
      <c r="E19">
        <v>12</v>
      </c>
      <c r="G19">
        <v>3</v>
      </c>
      <c r="I19">
        <v>19</v>
      </c>
      <c r="J19" t="s">
        <v>674</v>
      </c>
      <c r="K19">
        <v>0</v>
      </c>
      <c r="L19" t="s">
        <v>156</v>
      </c>
      <c r="M19" s="9">
        <v>-0.18</v>
      </c>
      <c r="N19" s="9" t="e">
        <v>#DIV/0!</v>
      </c>
      <c r="O19" t="str">
        <f t="shared" si="0"/>
        <v>Low</v>
      </c>
      <c r="R19" s="13" t="s">
        <v>636</v>
      </c>
      <c r="S19" s="13" t="s">
        <v>155</v>
      </c>
      <c r="T19" s="14" t="s">
        <v>159</v>
      </c>
      <c r="U19" s="15" t="s">
        <v>647</v>
      </c>
      <c r="V19" s="13" t="s">
        <v>675</v>
      </c>
      <c r="W19" s="13" t="s">
        <v>319</v>
      </c>
      <c r="X19" s="14" t="s">
        <v>320</v>
      </c>
      <c r="Y19" s="15" t="s">
        <v>676</v>
      </c>
      <c r="AB19"/>
      <c r="AC19"/>
    </row>
    <row r="20" spans="1:29" ht="23.25">
      <c r="A20">
        <v>20</v>
      </c>
      <c r="B20" t="s">
        <v>100</v>
      </c>
      <c r="C20">
        <v>14</v>
      </c>
      <c r="E20">
        <v>12</v>
      </c>
      <c r="G20">
        <v>3</v>
      </c>
      <c r="I20">
        <v>20</v>
      </c>
      <c r="J20" t="s">
        <v>677</v>
      </c>
      <c r="K20">
        <v>0</v>
      </c>
      <c r="L20" t="s">
        <v>159</v>
      </c>
      <c r="M20" s="9">
        <v>-0.02</v>
      </c>
      <c r="N20" s="9" t="e">
        <v>#DIV/0!</v>
      </c>
      <c r="O20" t="str">
        <f t="shared" si="0"/>
        <v>Low</v>
      </c>
      <c r="R20" s="13" t="s">
        <v>636</v>
      </c>
      <c r="S20" s="13" t="s">
        <v>155</v>
      </c>
      <c r="T20" s="14" t="s">
        <v>161</v>
      </c>
      <c r="U20" s="15" t="s">
        <v>678</v>
      </c>
      <c r="V20" s="13" t="s">
        <v>675</v>
      </c>
      <c r="W20" s="13" t="s">
        <v>325</v>
      </c>
      <c r="X20" s="14" t="s">
        <v>679</v>
      </c>
      <c r="Y20" s="15" t="s">
        <v>680</v>
      </c>
      <c r="AB20"/>
      <c r="AC20"/>
    </row>
    <row r="21" spans="1:29" ht="23.25">
      <c r="A21">
        <v>20</v>
      </c>
      <c r="B21" t="s">
        <v>100</v>
      </c>
      <c r="C21">
        <v>14</v>
      </c>
      <c r="E21">
        <v>12</v>
      </c>
      <c r="G21">
        <v>3</v>
      </c>
      <c r="I21">
        <v>21</v>
      </c>
      <c r="J21" t="s">
        <v>681</v>
      </c>
      <c r="K21">
        <v>0</v>
      </c>
      <c r="L21" t="s">
        <v>161</v>
      </c>
      <c r="M21" s="9">
        <v>0.37162393162393165</v>
      </c>
      <c r="N21" s="9">
        <v>0.34170784109647356</v>
      </c>
      <c r="O21" t="str">
        <f t="shared" si="0"/>
        <v>Moderate</v>
      </c>
      <c r="R21" s="13" t="s">
        <v>636</v>
      </c>
      <c r="S21" s="13" t="s">
        <v>155</v>
      </c>
      <c r="T21" s="14" t="s">
        <v>162</v>
      </c>
      <c r="U21" s="15" t="s">
        <v>623</v>
      </c>
      <c r="V21" s="13" t="s">
        <v>675</v>
      </c>
      <c r="W21" s="13" t="s">
        <v>328</v>
      </c>
      <c r="X21" s="14" t="s">
        <v>329</v>
      </c>
      <c r="Y21" s="15" t="s">
        <v>682</v>
      </c>
      <c r="AB21"/>
      <c r="AC21"/>
    </row>
    <row r="22" spans="1:29" ht="23.25">
      <c r="A22">
        <v>20</v>
      </c>
      <c r="B22" t="s">
        <v>100</v>
      </c>
      <c r="C22">
        <v>14</v>
      </c>
      <c r="E22">
        <v>12</v>
      </c>
      <c r="G22">
        <v>3</v>
      </c>
      <c r="I22">
        <v>36</v>
      </c>
      <c r="J22" t="s">
        <v>683</v>
      </c>
      <c r="K22">
        <v>0</v>
      </c>
      <c r="L22" t="s">
        <v>162</v>
      </c>
      <c r="M22" s="9">
        <v>0.05</v>
      </c>
      <c r="N22" s="9" t="e">
        <v>#DIV/0!</v>
      </c>
      <c r="O22" t="str">
        <f t="shared" si="0"/>
        <v>Low</v>
      </c>
      <c r="R22" s="13" t="s">
        <v>636</v>
      </c>
      <c r="S22" s="13" t="s">
        <v>163</v>
      </c>
      <c r="T22" s="14" t="s">
        <v>165</v>
      </c>
      <c r="U22" s="15" t="s">
        <v>684</v>
      </c>
      <c r="V22" s="13" t="s">
        <v>675</v>
      </c>
      <c r="W22" s="13" t="s">
        <v>328</v>
      </c>
      <c r="X22" s="14" t="s">
        <v>331</v>
      </c>
      <c r="Y22" s="15" t="s">
        <v>685</v>
      </c>
      <c r="AB22"/>
      <c r="AC22"/>
    </row>
    <row r="23" spans="1:29" ht="23.25">
      <c r="A23">
        <v>20</v>
      </c>
      <c r="B23" t="s">
        <v>100</v>
      </c>
      <c r="C23">
        <v>14</v>
      </c>
      <c r="E23">
        <v>12</v>
      </c>
      <c r="G23">
        <v>4</v>
      </c>
      <c r="H23" t="s">
        <v>163</v>
      </c>
      <c r="I23">
        <v>4</v>
      </c>
      <c r="J23" t="s">
        <v>686</v>
      </c>
      <c r="K23">
        <v>0</v>
      </c>
      <c r="L23" t="s">
        <v>165</v>
      </c>
      <c r="M23" s="9">
        <v>0.24000000000000005</v>
      </c>
      <c r="N23" s="9" t="e">
        <v>#DIV/0!</v>
      </c>
      <c r="O23" t="str">
        <f t="shared" si="0"/>
        <v>Moderate</v>
      </c>
      <c r="R23" s="13" t="s">
        <v>636</v>
      </c>
      <c r="S23" s="13" t="s">
        <v>163</v>
      </c>
      <c r="T23" s="14" t="s">
        <v>164</v>
      </c>
      <c r="U23" s="15" t="s">
        <v>687</v>
      </c>
      <c r="V23" s="13" t="s">
        <v>675</v>
      </c>
      <c r="W23" s="13" t="s">
        <v>328</v>
      </c>
      <c r="X23" s="14" t="s">
        <v>332</v>
      </c>
      <c r="Y23" s="15" t="s">
        <v>688</v>
      </c>
      <c r="AB23"/>
      <c r="AC23"/>
    </row>
    <row r="24" spans="1:29" ht="23.25">
      <c r="A24">
        <v>20</v>
      </c>
      <c r="B24" t="s">
        <v>100</v>
      </c>
      <c r="C24">
        <v>14</v>
      </c>
      <c r="E24">
        <v>12</v>
      </c>
      <c r="G24">
        <v>4</v>
      </c>
      <c r="I24">
        <v>4</v>
      </c>
      <c r="K24">
        <v>0</v>
      </c>
      <c r="L24" t="s">
        <v>164</v>
      </c>
      <c r="M24" s="9">
        <v>-0.04</v>
      </c>
      <c r="N24" s="9" t="e">
        <v>#DIV/0!</v>
      </c>
      <c r="O24" t="str">
        <f t="shared" si="0"/>
        <v>Low</v>
      </c>
      <c r="R24" s="13" t="s">
        <v>636</v>
      </c>
      <c r="S24" s="13" t="s">
        <v>163</v>
      </c>
      <c r="T24" s="14" t="s">
        <v>166</v>
      </c>
      <c r="U24" s="15" t="s">
        <v>689</v>
      </c>
      <c r="V24" s="13" t="s">
        <v>675</v>
      </c>
      <c r="W24" s="13" t="s">
        <v>328</v>
      </c>
      <c r="X24" s="14" t="s">
        <v>333</v>
      </c>
      <c r="Y24" s="15" t="s">
        <v>690</v>
      </c>
      <c r="AB24"/>
      <c r="AC24"/>
    </row>
    <row r="25" spans="1:29" ht="23.25">
      <c r="A25">
        <v>20</v>
      </c>
      <c r="B25" t="s">
        <v>100</v>
      </c>
      <c r="C25">
        <v>14</v>
      </c>
      <c r="E25">
        <v>12</v>
      </c>
      <c r="G25">
        <v>4</v>
      </c>
      <c r="I25">
        <v>5</v>
      </c>
      <c r="J25" t="s">
        <v>691</v>
      </c>
      <c r="K25">
        <v>0</v>
      </c>
      <c r="L25" t="s">
        <v>166</v>
      </c>
      <c r="M25" s="9">
        <v>9.9599999999999966E-2</v>
      </c>
      <c r="N25" s="9">
        <v>0.33884556954459355</v>
      </c>
      <c r="O25" t="str">
        <f t="shared" si="0"/>
        <v>Low</v>
      </c>
      <c r="R25" s="13" t="s">
        <v>636</v>
      </c>
      <c r="S25" s="13" t="s">
        <v>163</v>
      </c>
      <c r="T25" s="14" t="s">
        <v>167</v>
      </c>
      <c r="U25" s="15" t="s">
        <v>692</v>
      </c>
      <c r="V25" s="13" t="s">
        <v>675</v>
      </c>
      <c r="W25" s="13" t="s">
        <v>335</v>
      </c>
      <c r="X25" s="14" t="s">
        <v>336</v>
      </c>
      <c r="Y25" s="15" t="s">
        <v>693</v>
      </c>
      <c r="AB25"/>
      <c r="AC25"/>
    </row>
    <row r="26" spans="1:29" ht="23.25">
      <c r="A26">
        <v>20</v>
      </c>
      <c r="B26" t="s">
        <v>100</v>
      </c>
      <c r="C26">
        <v>14</v>
      </c>
      <c r="E26">
        <v>12</v>
      </c>
      <c r="G26">
        <v>4</v>
      </c>
      <c r="I26">
        <v>33</v>
      </c>
      <c r="J26" t="s">
        <v>694</v>
      </c>
      <c r="K26">
        <v>0</v>
      </c>
      <c r="L26" t="s">
        <v>167</v>
      </c>
      <c r="M26" s="9">
        <v>-1.0426540284359902E-3</v>
      </c>
      <c r="N26" s="9">
        <v>5.5094007027046678E-2</v>
      </c>
      <c r="O26" t="str">
        <f t="shared" si="0"/>
        <v>Low</v>
      </c>
      <c r="R26" s="13" t="s">
        <v>636</v>
      </c>
      <c r="S26" s="13" t="s">
        <v>169</v>
      </c>
      <c r="T26" s="14" t="s">
        <v>170</v>
      </c>
      <c r="U26" s="15" t="s">
        <v>695</v>
      </c>
      <c r="V26" s="13" t="s">
        <v>675</v>
      </c>
      <c r="W26" s="13" t="s">
        <v>335</v>
      </c>
      <c r="X26" s="14" t="s">
        <v>337</v>
      </c>
      <c r="Y26" s="15" t="s">
        <v>696</v>
      </c>
      <c r="AB26"/>
      <c r="AC26"/>
    </row>
    <row r="27" spans="1:29" ht="23.25">
      <c r="A27">
        <v>20</v>
      </c>
      <c r="B27" t="s">
        <v>100</v>
      </c>
      <c r="C27">
        <v>14</v>
      </c>
      <c r="E27">
        <v>12</v>
      </c>
      <c r="G27">
        <v>6</v>
      </c>
      <c r="H27" t="s">
        <v>169</v>
      </c>
      <c r="I27">
        <v>7</v>
      </c>
      <c r="J27" t="s">
        <v>697</v>
      </c>
      <c r="K27">
        <v>0</v>
      </c>
      <c r="L27" t="s">
        <v>170</v>
      </c>
      <c r="M27" s="9">
        <v>1.3153288947599573E-2</v>
      </c>
      <c r="N27" s="9">
        <v>5.2986452882607039E-2</v>
      </c>
      <c r="O27" t="str">
        <f t="shared" si="0"/>
        <v>Low</v>
      </c>
      <c r="R27" s="13" t="s">
        <v>636</v>
      </c>
      <c r="S27" s="13" t="s">
        <v>169</v>
      </c>
      <c r="T27" s="14" t="s">
        <v>174</v>
      </c>
      <c r="U27" s="15" t="s">
        <v>698</v>
      </c>
      <c r="V27" s="13" t="s">
        <v>675</v>
      </c>
      <c r="W27" s="13" t="s">
        <v>338</v>
      </c>
      <c r="X27" s="14" t="s">
        <v>339</v>
      </c>
      <c r="Y27" s="15" t="s">
        <v>699</v>
      </c>
      <c r="AB27"/>
      <c r="AC27"/>
    </row>
    <row r="28" spans="1:29" ht="23.25">
      <c r="A28">
        <v>20</v>
      </c>
      <c r="B28" t="s">
        <v>100</v>
      </c>
      <c r="C28">
        <v>14</v>
      </c>
      <c r="E28">
        <v>12</v>
      </c>
      <c r="G28">
        <v>6</v>
      </c>
      <c r="I28">
        <v>44</v>
      </c>
      <c r="J28" t="s">
        <v>700</v>
      </c>
      <c r="K28">
        <v>0</v>
      </c>
      <c r="L28" t="s">
        <v>174</v>
      </c>
      <c r="M28" s="9">
        <v>6.2466095645967161E-2</v>
      </c>
      <c r="N28" s="9">
        <v>4.5913992779828848E-2</v>
      </c>
      <c r="O28" t="str">
        <f t="shared" si="0"/>
        <v>Low</v>
      </c>
      <c r="R28" s="13" t="s">
        <v>701</v>
      </c>
      <c r="S28" s="13" t="s">
        <v>179</v>
      </c>
      <c r="T28" s="14" t="s">
        <v>180</v>
      </c>
      <c r="U28" s="15" t="s">
        <v>702</v>
      </c>
      <c r="V28" s="13" t="s">
        <v>675</v>
      </c>
      <c r="W28" s="13" t="s">
        <v>338</v>
      </c>
      <c r="X28" s="14" t="s">
        <v>340</v>
      </c>
      <c r="Y28" s="15" t="s">
        <v>703</v>
      </c>
      <c r="AB28"/>
      <c r="AC28"/>
    </row>
    <row r="29" spans="1:29" ht="23.25">
      <c r="A29">
        <v>29</v>
      </c>
      <c r="B29" t="s">
        <v>176</v>
      </c>
      <c r="C29">
        <v>10</v>
      </c>
      <c r="D29" t="s">
        <v>177</v>
      </c>
      <c r="E29">
        <v>10</v>
      </c>
      <c r="F29" t="s">
        <v>178</v>
      </c>
      <c r="G29">
        <v>4</v>
      </c>
      <c r="H29" t="s">
        <v>179</v>
      </c>
      <c r="I29">
        <v>69</v>
      </c>
      <c r="J29" t="s">
        <v>704</v>
      </c>
      <c r="K29">
        <v>0</v>
      </c>
      <c r="L29" t="s">
        <v>180</v>
      </c>
      <c r="M29" s="9">
        <v>0.16000000000000003</v>
      </c>
      <c r="N29" s="9" t="e">
        <v>#DIV/0!</v>
      </c>
      <c r="O29" t="str">
        <f t="shared" si="0"/>
        <v>Low</v>
      </c>
      <c r="R29" s="13" t="s">
        <v>701</v>
      </c>
      <c r="S29" s="13" t="s">
        <v>179</v>
      </c>
      <c r="T29" s="14" t="s">
        <v>181</v>
      </c>
      <c r="U29" s="15" t="s">
        <v>705</v>
      </c>
      <c r="V29" s="13" t="s">
        <v>675</v>
      </c>
      <c r="W29" s="13" t="s">
        <v>338</v>
      </c>
      <c r="X29" s="14" t="s">
        <v>341</v>
      </c>
      <c r="Y29" s="15" t="s">
        <v>673</v>
      </c>
      <c r="AB29"/>
      <c r="AC29"/>
    </row>
    <row r="30" spans="1:29" ht="23.25">
      <c r="A30">
        <v>29</v>
      </c>
      <c r="B30" t="s">
        <v>176</v>
      </c>
      <c r="C30">
        <v>10</v>
      </c>
      <c r="E30">
        <v>10</v>
      </c>
      <c r="G30">
        <v>4</v>
      </c>
      <c r="I30">
        <v>85</v>
      </c>
      <c r="J30" t="s">
        <v>706</v>
      </c>
      <c r="K30">
        <v>0</v>
      </c>
      <c r="L30" t="s">
        <v>181</v>
      </c>
      <c r="M30" s="9">
        <v>0.13</v>
      </c>
      <c r="N30" s="9" t="e">
        <v>#DIV/0!</v>
      </c>
      <c r="O30" t="str">
        <f t="shared" si="0"/>
        <v>Low</v>
      </c>
      <c r="R30" s="13" t="s">
        <v>701</v>
      </c>
      <c r="S30" s="13" t="s">
        <v>183</v>
      </c>
      <c r="T30" s="14" t="s">
        <v>184</v>
      </c>
      <c r="U30" s="15" t="s">
        <v>707</v>
      </c>
      <c r="V30" s="13" t="s">
        <v>675</v>
      </c>
      <c r="W30" s="13" t="s">
        <v>338</v>
      </c>
      <c r="X30" s="14" t="s">
        <v>342</v>
      </c>
      <c r="Y30" s="15" t="s">
        <v>708</v>
      </c>
      <c r="AB30"/>
      <c r="AC30"/>
    </row>
    <row r="31" spans="1:29" ht="23.25">
      <c r="A31">
        <v>29</v>
      </c>
      <c r="B31" t="s">
        <v>176</v>
      </c>
      <c r="C31">
        <v>10</v>
      </c>
      <c r="E31">
        <v>12</v>
      </c>
      <c r="F31" t="s">
        <v>182</v>
      </c>
      <c r="G31">
        <v>6</v>
      </c>
      <c r="H31" t="s">
        <v>183</v>
      </c>
      <c r="I31">
        <v>29</v>
      </c>
      <c r="J31" t="s">
        <v>709</v>
      </c>
      <c r="K31">
        <v>0</v>
      </c>
      <c r="L31" t="s">
        <v>184</v>
      </c>
      <c r="M31" s="9">
        <v>0.38</v>
      </c>
      <c r="N31" s="9" t="e">
        <v>#DIV/0!</v>
      </c>
      <c r="O31" t="str">
        <f t="shared" si="0"/>
        <v>Moderate</v>
      </c>
      <c r="R31" s="13" t="s">
        <v>701</v>
      </c>
      <c r="S31" s="13" t="s">
        <v>183</v>
      </c>
      <c r="T31" s="14" t="s">
        <v>185</v>
      </c>
      <c r="U31" s="15" t="s">
        <v>710</v>
      </c>
      <c r="V31" s="13" t="s">
        <v>675</v>
      </c>
      <c r="W31" s="13" t="s">
        <v>338</v>
      </c>
      <c r="X31" s="14" t="s">
        <v>343</v>
      </c>
      <c r="Y31" s="15" t="s">
        <v>641</v>
      </c>
      <c r="AB31"/>
      <c r="AC31"/>
    </row>
    <row r="32" spans="1:29" ht="23.25">
      <c r="A32">
        <v>29</v>
      </c>
      <c r="B32" t="s">
        <v>176</v>
      </c>
      <c r="C32">
        <v>10</v>
      </c>
      <c r="E32">
        <v>12</v>
      </c>
      <c r="G32">
        <v>6</v>
      </c>
      <c r="I32">
        <v>32</v>
      </c>
      <c r="J32" t="s">
        <v>711</v>
      </c>
      <c r="K32">
        <v>0</v>
      </c>
      <c r="L32" t="s">
        <v>185</v>
      </c>
      <c r="M32" s="9">
        <v>0.09</v>
      </c>
      <c r="N32" s="9" t="e">
        <v>#DIV/0!</v>
      </c>
      <c r="O32" t="str">
        <f t="shared" si="0"/>
        <v>Low</v>
      </c>
      <c r="R32" s="13" t="s">
        <v>701</v>
      </c>
      <c r="S32" s="13" t="s">
        <v>183</v>
      </c>
      <c r="T32" s="14" t="s">
        <v>186</v>
      </c>
      <c r="U32" s="15" t="s">
        <v>712</v>
      </c>
      <c r="V32" s="13" t="s">
        <v>675</v>
      </c>
      <c r="W32" s="13" t="s">
        <v>338</v>
      </c>
      <c r="X32" s="14" t="s">
        <v>344</v>
      </c>
      <c r="Y32" s="15" t="s">
        <v>713</v>
      </c>
      <c r="AB32"/>
      <c r="AC32"/>
    </row>
    <row r="33" spans="1:29" ht="23.25">
      <c r="A33">
        <v>29</v>
      </c>
      <c r="B33" t="s">
        <v>176</v>
      </c>
      <c r="C33">
        <v>10</v>
      </c>
      <c r="E33">
        <v>12</v>
      </c>
      <c r="G33">
        <v>6</v>
      </c>
      <c r="I33">
        <v>37</v>
      </c>
      <c r="J33" t="s">
        <v>714</v>
      </c>
      <c r="K33">
        <v>0</v>
      </c>
      <c r="L33" t="s">
        <v>186</v>
      </c>
      <c r="M33" s="9">
        <v>0.39</v>
      </c>
      <c r="N33" s="9" t="e">
        <v>#DIV/0!</v>
      </c>
      <c r="O33" t="str">
        <f t="shared" si="0"/>
        <v>Moderate</v>
      </c>
      <c r="R33" s="13" t="s">
        <v>701</v>
      </c>
      <c r="S33" s="13" t="s">
        <v>183</v>
      </c>
      <c r="T33" s="14" t="s">
        <v>187</v>
      </c>
      <c r="U33" s="15" t="s">
        <v>663</v>
      </c>
      <c r="V33" s="13" t="s">
        <v>675</v>
      </c>
      <c r="W33" s="13" t="s">
        <v>345</v>
      </c>
      <c r="X33" s="14" t="s">
        <v>346</v>
      </c>
      <c r="Y33" s="15" t="s">
        <v>715</v>
      </c>
      <c r="AB33"/>
      <c r="AC33"/>
    </row>
    <row r="34" spans="1:29" ht="23.25">
      <c r="A34">
        <v>29</v>
      </c>
      <c r="B34" t="s">
        <v>176</v>
      </c>
      <c r="C34">
        <v>10</v>
      </c>
      <c r="E34">
        <v>12</v>
      </c>
      <c r="G34">
        <v>6</v>
      </c>
      <c r="I34">
        <v>42</v>
      </c>
      <c r="J34" t="s">
        <v>716</v>
      </c>
      <c r="K34">
        <v>0</v>
      </c>
      <c r="L34" t="s">
        <v>187</v>
      </c>
      <c r="M34" s="9">
        <v>0</v>
      </c>
      <c r="N34" s="9" t="e">
        <v>#DIV/0!</v>
      </c>
      <c r="O34" t="str">
        <f t="shared" ref="O34:O65" si="1">IF(M34&lt;0.18,"Low",IF(M34&lt;0.44,"Moderate",IF(M34&lt;0.77,"High", "Very High")))</f>
        <v>Low</v>
      </c>
      <c r="R34" s="13" t="s">
        <v>701</v>
      </c>
      <c r="S34" s="13" t="s">
        <v>188</v>
      </c>
      <c r="T34" s="14" t="s">
        <v>189</v>
      </c>
      <c r="U34" s="15" t="s">
        <v>647</v>
      </c>
      <c r="V34" s="13" t="s">
        <v>675</v>
      </c>
      <c r="W34" s="13" t="s">
        <v>345</v>
      </c>
      <c r="X34" s="14" t="s">
        <v>347</v>
      </c>
      <c r="Y34" s="15" t="s">
        <v>690</v>
      </c>
      <c r="AB34"/>
      <c r="AC34"/>
    </row>
    <row r="35" spans="1:29" ht="23.25">
      <c r="A35">
        <v>29</v>
      </c>
      <c r="B35" t="s">
        <v>176</v>
      </c>
      <c r="C35">
        <v>10</v>
      </c>
      <c r="E35">
        <v>12</v>
      </c>
      <c r="G35">
        <v>10</v>
      </c>
      <c r="H35" t="s">
        <v>188</v>
      </c>
      <c r="I35">
        <v>8</v>
      </c>
      <c r="J35" t="s">
        <v>717</v>
      </c>
      <c r="K35">
        <v>0</v>
      </c>
      <c r="L35" t="s">
        <v>189</v>
      </c>
      <c r="M35" s="9">
        <v>-0.02</v>
      </c>
      <c r="N35" s="9" t="e">
        <v>#DIV/0!</v>
      </c>
      <c r="O35" t="str">
        <f t="shared" si="1"/>
        <v>Low</v>
      </c>
      <c r="R35" s="13" t="s">
        <v>718</v>
      </c>
      <c r="S35" s="13" t="s">
        <v>193</v>
      </c>
      <c r="T35" s="14" t="s">
        <v>194</v>
      </c>
      <c r="U35" s="15" t="s">
        <v>712</v>
      </c>
      <c r="V35" s="13" t="s">
        <v>675</v>
      </c>
      <c r="W35" s="13" t="s">
        <v>345</v>
      </c>
      <c r="X35" s="14" t="s">
        <v>348</v>
      </c>
      <c r="Y35" s="15" t="s">
        <v>719</v>
      </c>
      <c r="AB35"/>
      <c r="AC35"/>
    </row>
    <row r="36" spans="1:29" ht="23.25">
      <c r="A36">
        <v>32</v>
      </c>
      <c r="B36" t="s">
        <v>190</v>
      </c>
      <c r="C36">
        <v>4</v>
      </c>
      <c r="D36" t="s">
        <v>191</v>
      </c>
      <c r="E36">
        <v>6</v>
      </c>
      <c r="F36" t="s">
        <v>192</v>
      </c>
      <c r="G36">
        <v>1</v>
      </c>
      <c r="H36" t="s">
        <v>193</v>
      </c>
      <c r="I36">
        <v>1</v>
      </c>
      <c r="J36" t="s">
        <v>720</v>
      </c>
      <c r="K36">
        <v>0</v>
      </c>
      <c r="L36" t="s">
        <v>194</v>
      </c>
      <c r="M36" s="9">
        <v>0.39</v>
      </c>
      <c r="N36" s="9" t="e">
        <v>#DIV/0!</v>
      </c>
      <c r="O36" t="str">
        <f t="shared" si="1"/>
        <v>Moderate</v>
      </c>
      <c r="R36" s="13" t="s">
        <v>718</v>
      </c>
      <c r="S36" s="13" t="s">
        <v>197</v>
      </c>
      <c r="T36" s="14" t="s">
        <v>198</v>
      </c>
      <c r="U36" s="15" t="s">
        <v>721</v>
      </c>
      <c r="V36" s="13" t="s">
        <v>675</v>
      </c>
      <c r="W36" s="13" t="s">
        <v>349</v>
      </c>
      <c r="X36" s="14" t="s">
        <v>350</v>
      </c>
      <c r="Y36" s="15" t="s">
        <v>722</v>
      </c>
      <c r="AB36"/>
      <c r="AC36"/>
    </row>
    <row r="37" spans="1:29" ht="23.25">
      <c r="A37">
        <v>32</v>
      </c>
      <c r="B37" t="s">
        <v>190</v>
      </c>
      <c r="C37">
        <v>4</v>
      </c>
      <c r="E37">
        <v>7</v>
      </c>
      <c r="F37" t="s">
        <v>196</v>
      </c>
      <c r="G37">
        <v>2</v>
      </c>
      <c r="H37" t="s">
        <v>197</v>
      </c>
      <c r="I37">
        <v>1</v>
      </c>
      <c r="J37" t="s">
        <v>723</v>
      </c>
      <c r="K37">
        <v>0</v>
      </c>
      <c r="L37" t="s">
        <v>198</v>
      </c>
      <c r="M37" s="9">
        <v>0.58277591973244147</v>
      </c>
      <c r="N37" s="9">
        <v>7.6963963250624379E-2</v>
      </c>
      <c r="O37" t="str">
        <f t="shared" si="1"/>
        <v>High</v>
      </c>
      <c r="R37" s="13" t="s">
        <v>718</v>
      </c>
      <c r="S37" s="13" t="s">
        <v>197</v>
      </c>
      <c r="T37" s="14" t="s">
        <v>204</v>
      </c>
      <c r="U37" s="15" t="s">
        <v>724</v>
      </c>
      <c r="V37" s="13" t="s">
        <v>675</v>
      </c>
      <c r="W37" s="13" t="s">
        <v>349</v>
      </c>
      <c r="X37" s="14" t="s">
        <v>351</v>
      </c>
      <c r="Y37" s="15" t="s">
        <v>725</v>
      </c>
      <c r="AB37"/>
      <c r="AC37"/>
    </row>
    <row r="38" spans="1:29" ht="23.25">
      <c r="A38">
        <v>32</v>
      </c>
      <c r="B38" t="s">
        <v>190</v>
      </c>
      <c r="C38">
        <v>4</v>
      </c>
      <c r="E38">
        <v>7</v>
      </c>
      <c r="G38">
        <v>2</v>
      </c>
      <c r="I38">
        <v>1</v>
      </c>
      <c r="K38">
        <v>0</v>
      </c>
      <c r="L38" t="s">
        <v>204</v>
      </c>
      <c r="M38" s="9">
        <v>0.53940012788355085</v>
      </c>
      <c r="N38" s="9">
        <v>9.0542067739965371E-2</v>
      </c>
      <c r="O38" t="str">
        <f t="shared" si="1"/>
        <v>High</v>
      </c>
      <c r="R38" s="13" t="s">
        <v>718</v>
      </c>
      <c r="S38" s="13" t="s">
        <v>228</v>
      </c>
      <c r="T38" s="14" t="s">
        <v>229</v>
      </c>
      <c r="U38" s="15" t="s">
        <v>726</v>
      </c>
      <c r="V38" s="13" t="s">
        <v>675</v>
      </c>
      <c r="W38" s="13" t="s">
        <v>352</v>
      </c>
      <c r="X38" s="14" t="s">
        <v>353</v>
      </c>
      <c r="Y38" s="15" t="s">
        <v>727</v>
      </c>
      <c r="AB38"/>
      <c r="AC38"/>
    </row>
    <row r="39" spans="1:29" ht="23.25">
      <c r="A39">
        <v>32</v>
      </c>
      <c r="B39" t="s">
        <v>190</v>
      </c>
      <c r="C39">
        <v>4</v>
      </c>
      <c r="E39">
        <v>8</v>
      </c>
      <c r="F39" t="s">
        <v>227</v>
      </c>
      <c r="G39">
        <v>10</v>
      </c>
      <c r="H39" t="s">
        <v>228</v>
      </c>
      <c r="I39">
        <v>4</v>
      </c>
      <c r="J39" t="s">
        <v>728</v>
      </c>
      <c r="K39">
        <v>0</v>
      </c>
      <c r="L39" t="s">
        <v>229</v>
      </c>
      <c r="M39" s="9">
        <v>0.53</v>
      </c>
      <c r="N39" s="9" t="e">
        <v>#DIV/0!</v>
      </c>
      <c r="O39" t="str">
        <f t="shared" si="1"/>
        <v>High</v>
      </c>
      <c r="R39" s="13" t="s">
        <v>718</v>
      </c>
      <c r="S39" s="13" t="s">
        <v>230</v>
      </c>
      <c r="T39" s="14" t="s">
        <v>231</v>
      </c>
      <c r="U39" s="15" t="s">
        <v>729</v>
      </c>
      <c r="V39" s="13" t="s">
        <v>675</v>
      </c>
      <c r="W39" s="13" t="s">
        <v>352</v>
      </c>
      <c r="X39" s="14" t="s">
        <v>354</v>
      </c>
      <c r="Y39" s="15" t="s">
        <v>730</v>
      </c>
      <c r="AB39"/>
      <c r="AC39"/>
    </row>
    <row r="40" spans="1:29" ht="23.25">
      <c r="A40">
        <v>32</v>
      </c>
      <c r="B40" t="s">
        <v>190</v>
      </c>
      <c r="C40">
        <v>4</v>
      </c>
      <c r="E40">
        <v>8</v>
      </c>
      <c r="G40">
        <v>11</v>
      </c>
      <c r="H40" t="s">
        <v>230</v>
      </c>
      <c r="I40">
        <v>22</v>
      </c>
      <c r="J40" t="s">
        <v>731</v>
      </c>
      <c r="K40">
        <v>0</v>
      </c>
      <c r="L40" t="s">
        <v>231</v>
      </c>
      <c r="M40" s="9">
        <v>0.30000000000000004</v>
      </c>
      <c r="N40" s="9" t="e">
        <v>#DIV/0!</v>
      </c>
      <c r="O40" t="str">
        <f t="shared" si="1"/>
        <v>Moderate</v>
      </c>
      <c r="R40" s="13" t="s">
        <v>718</v>
      </c>
      <c r="S40" s="13" t="s">
        <v>232</v>
      </c>
      <c r="T40" s="14" t="s">
        <v>233</v>
      </c>
      <c r="U40" s="15" t="s">
        <v>712</v>
      </c>
      <c r="V40" s="13" t="s">
        <v>675</v>
      </c>
      <c r="W40" s="13" t="s">
        <v>352</v>
      </c>
      <c r="X40" s="14" t="s">
        <v>355</v>
      </c>
      <c r="Y40" s="15" t="s">
        <v>732</v>
      </c>
      <c r="AB40"/>
      <c r="AC40"/>
    </row>
    <row r="41" spans="1:29" ht="23.25">
      <c r="A41">
        <v>32</v>
      </c>
      <c r="B41" t="s">
        <v>190</v>
      </c>
      <c r="C41">
        <v>4</v>
      </c>
      <c r="E41">
        <v>8</v>
      </c>
      <c r="G41">
        <v>12</v>
      </c>
      <c r="H41" t="s">
        <v>232</v>
      </c>
      <c r="I41">
        <v>2</v>
      </c>
      <c r="J41" t="s">
        <v>733</v>
      </c>
      <c r="K41">
        <v>1</v>
      </c>
      <c r="L41" t="s">
        <v>233</v>
      </c>
      <c r="M41" s="9">
        <v>0.39</v>
      </c>
      <c r="N41" s="9" t="e">
        <v>#DIV/0!</v>
      </c>
      <c r="O41" t="str">
        <f t="shared" si="1"/>
        <v>Moderate</v>
      </c>
      <c r="R41" s="13" t="s">
        <v>718</v>
      </c>
      <c r="S41" s="13" t="s">
        <v>232</v>
      </c>
      <c r="T41" s="14" t="s">
        <v>234</v>
      </c>
      <c r="U41" s="15" t="s">
        <v>734</v>
      </c>
      <c r="V41" s="13" t="s">
        <v>675</v>
      </c>
      <c r="W41" s="13" t="s">
        <v>352</v>
      </c>
      <c r="X41" s="14" t="s">
        <v>356</v>
      </c>
      <c r="Y41" s="15" t="s">
        <v>735</v>
      </c>
      <c r="AB41"/>
      <c r="AC41"/>
    </row>
    <row r="42" spans="1:29" ht="23.25">
      <c r="A42">
        <v>32</v>
      </c>
      <c r="B42" t="s">
        <v>190</v>
      </c>
      <c r="C42">
        <v>4</v>
      </c>
      <c r="E42">
        <v>8</v>
      </c>
      <c r="G42">
        <v>12</v>
      </c>
      <c r="I42">
        <v>2</v>
      </c>
      <c r="K42">
        <v>2</v>
      </c>
      <c r="L42" t="s">
        <v>234</v>
      </c>
      <c r="M42" s="9">
        <v>0.54500000000000004</v>
      </c>
      <c r="N42" s="9" t="e">
        <v>#DIV/0!</v>
      </c>
      <c r="O42" t="str">
        <f t="shared" si="1"/>
        <v>High</v>
      </c>
      <c r="R42" s="13" t="s">
        <v>718</v>
      </c>
      <c r="S42" s="13" t="s">
        <v>232</v>
      </c>
      <c r="T42" s="14" t="s">
        <v>235</v>
      </c>
      <c r="U42" s="15" t="s">
        <v>736</v>
      </c>
      <c r="V42" s="13" t="s">
        <v>675</v>
      </c>
      <c r="W42" s="13" t="s">
        <v>352</v>
      </c>
      <c r="X42" s="14" t="s">
        <v>357</v>
      </c>
      <c r="Y42" s="15" t="s">
        <v>737</v>
      </c>
      <c r="AB42"/>
      <c r="AC42"/>
    </row>
    <row r="43" spans="1:29" ht="23.25">
      <c r="A43">
        <v>32</v>
      </c>
      <c r="B43" t="s">
        <v>190</v>
      </c>
      <c r="C43">
        <v>4</v>
      </c>
      <c r="E43">
        <v>8</v>
      </c>
      <c r="G43">
        <v>12</v>
      </c>
      <c r="I43">
        <v>2</v>
      </c>
      <c r="K43">
        <v>3</v>
      </c>
      <c r="L43" t="s">
        <v>235</v>
      </c>
      <c r="M43" s="9">
        <v>0.29046466868298049</v>
      </c>
      <c r="N43" s="9">
        <v>4.1769266117712048E-2</v>
      </c>
      <c r="O43" t="str">
        <f t="shared" si="1"/>
        <v>Moderate</v>
      </c>
      <c r="R43" s="13" t="s">
        <v>718</v>
      </c>
      <c r="S43" s="13" t="s">
        <v>232</v>
      </c>
      <c r="T43" s="14" t="s">
        <v>237</v>
      </c>
      <c r="U43" s="15" t="s">
        <v>738</v>
      </c>
      <c r="V43" s="13" t="s">
        <v>675</v>
      </c>
      <c r="W43" s="13" t="s">
        <v>352</v>
      </c>
      <c r="X43" s="14" t="s">
        <v>359</v>
      </c>
      <c r="Y43" s="15" t="s">
        <v>739</v>
      </c>
      <c r="AB43"/>
      <c r="AC43"/>
    </row>
    <row r="44" spans="1:29" ht="23.25">
      <c r="A44">
        <v>32</v>
      </c>
      <c r="B44" t="s">
        <v>190</v>
      </c>
      <c r="C44">
        <v>4</v>
      </c>
      <c r="E44">
        <v>8</v>
      </c>
      <c r="G44">
        <v>12</v>
      </c>
      <c r="I44">
        <v>2</v>
      </c>
      <c r="K44">
        <v>4</v>
      </c>
      <c r="L44" t="s">
        <v>237</v>
      </c>
      <c r="M44" s="9">
        <v>0.46875</v>
      </c>
      <c r="N44" s="9">
        <v>7.9549512883486703E-2</v>
      </c>
      <c r="O44" t="str">
        <f t="shared" si="1"/>
        <v>High</v>
      </c>
      <c r="R44" s="13" t="s">
        <v>718</v>
      </c>
      <c r="S44" s="13" t="s">
        <v>232</v>
      </c>
      <c r="T44" s="14" t="s">
        <v>239</v>
      </c>
      <c r="U44" s="15" t="s">
        <v>740</v>
      </c>
      <c r="V44" s="13" t="s">
        <v>675</v>
      </c>
      <c r="W44" s="13" t="s">
        <v>352</v>
      </c>
      <c r="X44" s="14" t="s">
        <v>360</v>
      </c>
      <c r="Y44" s="15" t="s">
        <v>741</v>
      </c>
      <c r="AB44"/>
      <c r="AC44"/>
    </row>
    <row r="45" spans="1:29" ht="23.25">
      <c r="A45">
        <v>32</v>
      </c>
      <c r="B45" t="s">
        <v>190</v>
      </c>
      <c r="C45">
        <v>4</v>
      </c>
      <c r="E45">
        <v>8</v>
      </c>
      <c r="G45">
        <v>12</v>
      </c>
      <c r="I45">
        <v>2</v>
      </c>
      <c r="K45">
        <v>5</v>
      </c>
      <c r="L45" t="s">
        <v>239</v>
      </c>
      <c r="M45" s="9">
        <v>0.57000000000000006</v>
      </c>
      <c r="N45" s="9" t="e">
        <v>#DIV/0!</v>
      </c>
      <c r="O45" t="str">
        <f t="shared" si="1"/>
        <v>High</v>
      </c>
      <c r="R45" s="13" t="s">
        <v>622</v>
      </c>
      <c r="S45" s="13" t="s">
        <v>616</v>
      </c>
      <c r="T45" s="14" t="s">
        <v>742</v>
      </c>
      <c r="U45" s="15" t="s">
        <v>743</v>
      </c>
      <c r="V45" s="13" t="s">
        <v>675</v>
      </c>
      <c r="W45" s="13" t="s">
        <v>361</v>
      </c>
      <c r="X45" s="14" t="s">
        <v>362</v>
      </c>
      <c r="Y45" s="15" t="s">
        <v>744</v>
      </c>
      <c r="AB45"/>
      <c r="AC45"/>
    </row>
    <row r="46" spans="1:29" ht="15">
      <c r="A46">
        <v>34</v>
      </c>
      <c r="B46" t="s">
        <v>240</v>
      </c>
      <c r="C46">
        <v>11</v>
      </c>
      <c r="D46" t="s">
        <v>241</v>
      </c>
      <c r="E46">
        <v>1</v>
      </c>
      <c r="F46" t="s">
        <v>242</v>
      </c>
      <c r="G46">
        <v>5</v>
      </c>
      <c r="H46" t="s">
        <v>616</v>
      </c>
      <c r="I46">
        <v>1</v>
      </c>
      <c r="J46" t="s">
        <v>745</v>
      </c>
      <c r="K46">
        <v>0</v>
      </c>
      <c r="L46" t="s">
        <v>243</v>
      </c>
      <c r="M46" s="9">
        <v>-0.01</v>
      </c>
      <c r="N46" s="9" t="e">
        <v>#DIV/0!</v>
      </c>
      <c r="O46" t="str">
        <f t="shared" si="1"/>
        <v>Low</v>
      </c>
      <c r="R46" s="33" t="s">
        <v>746</v>
      </c>
      <c r="S46" s="33"/>
      <c r="T46" s="33"/>
      <c r="U46" s="33"/>
      <c r="V46" s="33"/>
      <c r="W46" s="33"/>
      <c r="X46" s="33"/>
      <c r="Y46" s="33"/>
      <c r="AB46"/>
      <c r="AC46"/>
    </row>
    <row r="47" spans="1:29" ht="23.25">
      <c r="A47">
        <v>34</v>
      </c>
      <c r="B47" t="s">
        <v>240</v>
      </c>
      <c r="C47">
        <v>11</v>
      </c>
      <c r="E47">
        <v>1</v>
      </c>
      <c r="G47">
        <v>5</v>
      </c>
      <c r="I47">
        <v>1</v>
      </c>
      <c r="K47">
        <v>0</v>
      </c>
      <c r="L47" t="s">
        <v>244</v>
      </c>
      <c r="M47" s="9">
        <v>5.0000000000000044E-2</v>
      </c>
      <c r="N47" s="9" t="e">
        <v>#DIV/0!</v>
      </c>
      <c r="O47" t="str">
        <f t="shared" si="1"/>
        <v>Low</v>
      </c>
      <c r="R47" s="19" t="s">
        <v>8</v>
      </c>
      <c r="S47" s="19" t="s">
        <v>11</v>
      </c>
      <c r="T47" s="19" t="s">
        <v>13</v>
      </c>
      <c r="U47" s="20" t="s">
        <v>618</v>
      </c>
      <c r="V47" s="19" t="s">
        <v>8</v>
      </c>
      <c r="W47" s="19" t="s">
        <v>11</v>
      </c>
      <c r="X47" s="19" t="s">
        <v>13</v>
      </c>
      <c r="Y47" s="20" t="s">
        <v>618</v>
      </c>
      <c r="AB47"/>
      <c r="AC47"/>
    </row>
    <row r="48" spans="1:29" ht="23.25">
      <c r="A48">
        <v>34</v>
      </c>
      <c r="B48" t="s">
        <v>240</v>
      </c>
      <c r="C48">
        <v>11</v>
      </c>
      <c r="E48">
        <v>5</v>
      </c>
      <c r="F48" t="s">
        <v>245</v>
      </c>
      <c r="G48">
        <v>1</v>
      </c>
      <c r="H48" t="s">
        <v>246</v>
      </c>
      <c r="I48">
        <v>1</v>
      </c>
      <c r="J48" t="s">
        <v>747</v>
      </c>
      <c r="K48">
        <v>0</v>
      </c>
      <c r="L48" t="s">
        <v>247</v>
      </c>
      <c r="M48" s="9">
        <v>0.46467017808022887</v>
      </c>
      <c r="N48" s="9">
        <v>0.18696666739528486</v>
      </c>
      <c r="O48" t="str">
        <f t="shared" si="1"/>
        <v>High</v>
      </c>
      <c r="R48" s="13" t="s">
        <v>675</v>
      </c>
      <c r="S48" s="13" t="s">
        <v>363</v>
      </c>
      <c r="T48" s="14" t="s">
        <v>364</v>
      </c>
      <c r="U48" s="15" t="s">
        <v>712</v>
      </c>
      <c r="V48" s="13" t="s">
        <v>675</v>
      </c>
      <c r="W48" s="13" t="s">
        <v>422</v>
      </c>
      <c r="X48" s="14" t="s">
        <v>425</v>
      </c>
      <c r="Y48" s="15" t="s">
        <v>748</v>
      </c>
      <c r="AB48"/>
      <c r="AC48"/>
    </row>
    <row r="49" spans="1:29" ht="23.25">
      <c r="A49">
        <v>34</v>
      </c>
      <c r="B49" t="s">
        <v>240</v>
      </c>
      <c r="C49">
        <v>11</v>
      </c>
      <c r="E49">
        <v>7</v>
      </c>
      <c r="F49" t="s">
        <v>258</v>
      </c>
      <c r="G49">
        <v>1</v>
      </c>
      <c r="H49" t="s">
        <v>259</v>
      </c>
      <c r="I49">
        <v>1</v>
      </c>
      <c r="J49" t="s">
        <v>749</v>
      </c>
      <c r="K49">
        <v>0</v>
      </c>
      <c r="L49" t="s">
        <v>260</v>
      </c>
      <c r="M49" s="9">
        <v>-2.0488415899865514E-3</v>
      </c>
      <c r="N49" s="9">
        <v>9.562244897239601E-2</v>
      </c>
      <c r="O49" t="str">
        <f t="shared" si="1"/>
        <v>Low</v>
      </c>
      <c r="R49" s="13" t="s">
        <v>675</v>
      </c>
      <c r="S49" s="13" t="s">
        <v>365</v>
      </c>
      <c r="T49" s="14" t="s">
        <v>366</v>
      </c>
      <c r="U49" s="15" t="s">
        <v>750</v>
      </c>
      <c r="V49" s="13" t="s">
        <v>675</v>
      </c>
      <c r="W49" s="13" t="s">
        <v>426</v>
      </c>
      <c r="X49" s="14" t="s">
        <v>427</v>
      </c>
      <c r="Y49" s="15" t="s">
        <v>715</v>
      </c>
      <c r="AB49"/>
      <c r="AC49"/>
    </row>
    <row r="50" spans="1:29" ht="34.5">
      <c r="A50">
        <v>34</v>
      </c>
      <c r="B50" t="s">
        <v>240</v>
      </c>
      <c r="C50">
        <v>11</v>
      </c>
      <c r="E50">
        <v>7</v>
      </c>
      <c r="G50">
        <v>2</v>
      </c>
      <c r="H50" t="s">
        <v>266</v>
      </c>
      <c r="I50">
        <v>4</v>
      </c>
      <c r="J50" t="s">
        <v>751</v>
      </c>
      <c r="K50">
        <v>0</v>
      </c>
      <c r="L50" t="s">
        <v>267</v>
      </c>
      <c r="M50" s="9">
        <v>-6.2826510721247522E-2</v>
      </c>
      <c r="N50" s="9">
        <v>7.5094421676543649E-2</v>
      </c>
      <c r="O50" t="str">
        <f t="shared" si="1"/>
        <v>Low</v>
      </c>
      <c r="R50" s="13" t="s">
        <v>675</v>
      </c>
      <c r="S50" s="13" t="s">
        <v>365</v>
      </c>
      <c r="T50" s="14" t="s">
        <v>367</v>
      </c>
      <c r="U50" s="15" t="s">
        <v>708</v>
      </c>
      <c r="V50" s="13" t="s">
        <v>675</v>
      </c>
      <c r="W50" s="13" t="s">
        <v>426</v>
      </c>
      <c r="X50" s="14" t="s">
        <v>428</v>
      </c>
      <c r="Y50" s="15" t="s">
        <v>688</v>
      </c>
      <c r="AB50"/>
      <c r="AC50"/>
    </row>
    <row r="51" spans="1:29" ht="23.25">
      <c r="A51">
        <v>34</v>
      </c>
      <c r="B51" t="s">
        <v>240</v>
      </c>
      <c r="C51">
        <v>11</v>
      </c>
      <c r="E51">
        <v>7</v>
      </c>
      <c r="G51">
        <v>2</v>
      </c>
      <c r="I51">
        <v>6</v>
      </c>
      <c r="J51" t="s">
        <v>752</v>
      </c>
      <c r="K51">
        <v>0</v>
      </c>
      <c r="L51" t="s">
        <v>271</v>
      </c>
      <c r="M51" s="9">
        <v>0.01</v>
      </c>
      <c r="N51" s="9" t="e">
        <v>#DIV/0!</v>
      </c>
      <c r="O51" t="str">
        <f t="shared" si="1"/>
        <v>Low</v>
      </c>
      <c r="R51" s="13" t="s">
        <v>675</v>
      </c>
      <c r="S51" s="13" t="s">
        <v>365</v>
      </c>
      <c r="T51" s="14" t="s">
        <v>368</v>
      </c>
      <c r="U51" s="15" t="s">
        <v>753</v>
      </c>
      <c r="V51" s="13" t="s">
        <v>675</v>
      </c>
      <c r="W51" s="13" t="s">
        <v>429</v>
      </c>
      <c r="X51" s="14" t="s">
        <v>430</v>
      </c>
      <c r="Y51" s="15" t="s">
        <v>754</v>
      </c>
      <c r="AB51"/>
      <c r="AC51"/>
    </row>
    <row r="52" spans="1:29" ht="23.25">
      <c r="A52">
        <v>34</v>
      </c>
      <c r="B52" t="s">
        <v>240</v>
      </c>
      <c r="C52">
        <v>23</v>
      </c>
      <c r="D52" t="s">
        <v>272</v>
      </c>
      <c r="E52">
        <v>3</v>
      </c>
      <c r="F52" t="s">
        <v>273</v>
      </c>
      <c r="G52">
        <v>0</v>
      </c>
      <c r="H52" t="s">
        <v>616</v>
      </c>
      <c r="I52">
        <v>3</v>
      </c>
      <c r="J52" t="s">
        <v>755</v>
      </c>
      <c r="K52">
        <v>0</v>
      </c>
      <c r="L52" t="s">
        <v>274</v>
      </c>
      <c r="M52" s="9">
        <v>0.22999999999999998</v>
      </c>
      <c r="N52" s="9" t="e">
        <v>#DIV/0!</v>
      </c>
      <c r="O52" t="str">
        <f t="shared" si="1"/>
        <v>Moderate</v>
      </c>
      <c r="R52" s="13" t="s">
        <v>675</v>
      </c>
      <c r="S52" s="13" t="s">
        <v>365</v>
      </c>
      <c r="T52" s="14" t="s">
        <v>369</v>
      </c>
      <c r="U52" s="15" t="s">
        <v>756</v>
      </c>
      <c r="V52" s="13" t="s">
        <v>675</v>
      </c>
      <c r="W52" s="13" t="s">
        <v>431</v>
      </c>
      <c r="X52" s="14" t="s">
        <v>432</v>
      </c>
      <c r="Y52" s="15" t="s">
        <v>676</v>
      </c>
      <c r="AB52"/>
      <c r="AC52"/>
    </row>
    <row r="53" spans="1:29" ht="23.25">
      <c r="A53">
        <v>34</v>
      </c>
      <c r="B53" t="s">
        <v>240</v>
      </c>
      <c r="C53">
        <v>30</v>
      </c>
      <c r="D53" t="s">
        <v>275</v>
      </c>
      <c r="E53">
        <v>0</v>
      </c>
      <c r="F53" t="s">
        <v>616</v>
      </c>
      <c r="G53">
        <v>0</v>
      </c>
      <c r="H53" t="s">
        <v>616</v>
      </c>
      <c r="I53">
        <v>1</v>
      </c>
      <c r="J53" t="s">
        <v>757</v>
      </c>
      <c r="K53">
        <v>0</v>
      </c>
      <c r="L53" t="s">
        <v>276</v>
      </c>
      <c r="M53" s="9">
        <v>0.14000000000000001</v>
      </c>
      <c r="N53" s="9">
        <v>0.15556349186104043</v>
      </c>
      <c r="O53" t="str">
        <f t="shared" si="1"/>
        <v>Low</v>
      </c>
      <c r="R53" s="13" t="s">
        <v>675</v>
      </c>
      <c r="S53" s="13" t="s">
        <v>365</v>
      </c>
      <c r="T53" s="14" t="s">
        <v>370</v>
      </c>
      <c r="U53" s="15" t="s">
        <v>641</v>
      </c>
      <c r="V53" s="13" t="s">
        <v>675</v>
      </c>
      <c r="W53" s="13" t="s">
        <v>431</v>
      </c>
      <c r="X53" s="14" t="s">
        <v>433</v>
      </c>
      <c r="Y53" s="15" t="s">
        <v>758</v>
      </c>
      <c r="AB53"/>
      <c r="AC53"/>
    </row>
    <row r="54" spans="1:29" ht="23.25">
      <c r="A54">
        <v>34</v>
      </c>
      <c r="B54" t="s">
        <v>240</v>
      </c>
      <c r="C54">
        <v>30</v>
      </c>
      <c r="E54">
        <v>0</v>
      </c>
      <c r="G54">
        <v>0</v>
      </c>
      <c r="I54">
        <v>1</v>
      </c>
      <c r="K54">
        <v>0</v>
      </c>
      <c r="L54" t="s">
        <v>277</v>
      </c>
      <c r="M54" s="9">
        <v>-0.02</v>
      </c>
      <c r="N54" s="9" t="e">
        <v>#DIV/0!</v>
      </c>
      <c r="O54" t="str">
        <f t="shared" si="1"/>
        <v>Low</v>
      </c>
      <c r="R54" s="13" t="s">
        <v>675</v>
      </c>
      <c r="S54" s="13" t="s">
        <v>365</v>
      </c>
      <c r="T54" s="14" t="s">
        <v>371</v>
      </c>
      <c r="U54" s="15" t="s">
        <v>676</v>
      </c>
      <c r="V54" s="13" t="s">
        <v>675</v>
      </c>
      <c r="W54" s="13" t="s">
        <v>434</v>
      </c>
      <c r="X54" s="14" t="s">
        <v>435</v>
      </c>
      <c r="Y54" s="15" t="s">
        <v>759</v>
      </c>
      <c r="AB54"/>
      <c r="AC54"/>
    </row>
    <row r="55" spans="1:29" ht="23.25">
      <c r="A55">
        <v>38</v>
      </c>
      <c r="B55" t="s">
        <v>278</v>
      </c>
      <c r="C55">
        <v>15</v>
      </c>
      <c r="D55" t="s">
        <v>279</v>
      </c>
      <c r="E55">
        <v>1</v>
      </c>
      <c r="F55" t="s">
        <v>280</v>
      </c>
      <c r="G55">
        <v>0</v>
      </c>
      <c r="H55" t="s">
        <v>616</v>
      </c>
      <c r="I55">
        <v>1</v>
      </c>
      <c r="J55" t="s">
        <v>760</v>
      </c>
      <c r="K55">
        <v>0</v>
      </c>
      <c r="L55" t="s">
        <v>281</v>
      </c>
      <c r="M55" s="9">
        <v>0.44999999999999996</v>
      </c>
      <c r="N55" s="9" t="e">
        <v>#DIV/0!</v>
      </c>
      <c r="O55" t="str">
        <f t="shared" si="1"/>
        <v>High</v>
      </c>
      <c r="R55" s="13" t="s">
        <v>675</v>
      </c>
      <c r="S55" s="13" t="s">
        <v>372</v>
      </c>
      <c r="T55" s="14" t="s">
        <v>373</v>
      </c>
      <c r="U55" s="15" t="s">
        <v>673</v>
      </c>
      <c r="V55" s="13" t="s">
        <v>675</v>
      </c>
      <c r="W55" s="13" t="s">
        <v>434</v>
      </c>
      <c r="X55" s="14" t="s">
        <v>436</v>
      </c>
      <c r="Y55" s="15" t="s">
        <v>665</v>
      </c>
      <c r="AB55"/>
      <c r="AC55"/>
    </row>
    <row r="56" spans="1:29" ht="23.25">
      <c r="A56">
        <v>38</v>
      </c>
      <c r="B56" t="s">
        <v>278</v>
      </c>
      <c r="C56">
        <v>15</v>
      </c>
      <c r="E56">
        <v>2</v>
      </c>
      <c r="F56" t="s">
        <v>282</v>
      </c>
      <c r="G56">
        <v>0</v>
      </c>
      <c r="H56" t="s">
        <v>616</v>
      </c>
      <c r="I56">
        <v>1</v>
      </c>
      <c r="J56" t="s">
        <v>761</v>
      </c>
      <c r="K56">
        <v>0</v>
      </c>
      <c r="L56" t="s">
        <v>283</v>
      </c>
      <c r="M56" s="9">
        <v>-0.8</v>
      </c>
      <c r="N56" s="9" t="e">
        <v>#DIV/0!</v>
      </c>
      <c r="O56" t="str">
        <f t="shared" si="1"/>
        <v>Low</v>
      </c>
      <c r="R56" s="13" t="s">
        <v>675</v>
      </c>
      <c r="S56" s="13" t="s">
        <v>372</v>
      </c>
      <c r="T56" s="14" t="s">
        <v>374</v>
      </c>
      <c r="U56" s="15" t="s">
        <v>702</v>
      </c>
      <c r="V56" s="13" t="s">
        <v>675</v>
      </c>
      <c r="W56" s="13" t="s">
        <v>434</v>
      </c>
      <c r="X56" s="14" t="s">
        <v>437</v>
      </c>
      <c r="Y56" s="15" t="s">
        <v>703</v>
      </c>
      <c r="AB56"/>
      <c r="AC56"/>
    </row>
    <row r="57" spans="1:29" ht="23.25">
      <c r="A57">
        <v>38</v>
      </c>
      <c r="B57" t="s">
        <v>278</v>
      </c>
      <c r="C57">
        <v>15</v>
      </c>
      <c r="E57">
        <v>2</v>
      </c>
      <c r="G57">
        <v>0</v>
      </c>
      <c r="I57">
        <v>1</v>
      </c>
      <c r="K57">
        <v>0</v>
      </c>
      <c r="L57" t="s">
        <v>285</v>
      </c>
      <c r="M57" s="9">
        <v>0.48960578908135038</v>
      </c>
      <c r="N57" s="9">
        <v>7.0259378456700064E-2</v>
      </c>
      <c r="O57" t="str">
        <f t="shared" si="1"/>
        <v>High</v>
      </c>
      <c r="R57" s="13" t="s">
        <v>675</v>
      </c>
      <c r="S57" s="13" t="s">
        <v>375</v>
      </c>
      <c r="T57" s="14" t="s">
        <v>376</v>
      </c>
      <c r="U57" s="15" t="s">
        <v>762</v>
      </c>
      <c r="V57" s="13" t="s">
        <v>675</v>
      </c>
      <c r="W57" s="13" t="s">
        <v>438</v>
      </c>
      <c r="X57" s="14" t="s">
        <v>439</v>
      </c>
      <c r="Y57" s="15" t="s">
        <v>641</v>
      </c>
      <c r="AB57"/>
      <c r="AC57"/>
    </row>
    <row r="58" spans="1:29" ht="23.25">
      <c r="A58">
        <v>38</v>
      </c>
      <c r="B58" t="s">
        <v>278</v>
      </c>
      <c r="C58">
        <v>15</v>
      </c>
      <c r="E58">
        <v>3</v>
      </c>
      <c r="F58" t="s">
        <v>294</v>
      </c>
      <c r="G58">
        <v>1</v>
      </c>
      <c r="H58" t="s">
        <v>295</v>
      </c>
      <c r="I58">
        <v>0</v>
      </c>
      <c r="J58" t="s">
        <v>763</v>
      </c>
      <c r="K58">
        <v>0</v>
      </c>
      <c r="L58" t="s">
        <v>296</v>
      </c>
      <c r="M58" s="9">
        <v>-0.30000000000000004</v>
      </c>
      <c r="N58" s="9" t="e">
        <v>#DIV/0!</v>
      </c>
      <c r="O58" t="str">
        <f t="shared" si="1"/>
        <v>Low</v>
      </c>
      <c r="R58" s="13" t="s">
        <v>675</v>
      </c>
      <c r="S58" s="13" t="s">
        <v>378</v>
      </c>
      <c r="T58" s="14" t="s">
        <v>379</v>
      </c>
      <c r="U58" s="15" t="s">
        <v>656</v>
      </c>
      <c r="V58" s="13" t="s">
        <v>675</v>
      </c>
      <c r="W58" s="13" t="s">
        <v>438</v>
      </c>
      <c r="X58" s="14" t="s">
        <v>442</v>
      </c>
      <c r="Y58" s="15" t="s">
        <v>764</v>
      </c>
      <c r="AB58"/>
      <c r="AC58"/>
    </row>
    <row r="59" spans="1:29" ht="23.25">
      <c r="A59">
        <v>39</v>
      </c>
      <c r="B59" t="s">
        <v>297</v>
      </c>
      <c r="C59">
        <v>2</v>
      </c>
      <c r="D59" t="s">
        <v>298</v>
      </c>
      <c r="E59">
        <v>2</v>
      </c>
      <c r="F59" t="s">
        <v>299</v>
      </c>
      <c r="G59">
        <v>6</v>
      </c>
      <c r="H59" t="s">
        <v>300</v>
      </c>
      <c r="I59">
        <v>7</v>
      </c>
      <c r="J59" t="s">
        <v>765</v>
      </c>
      <c r="K59">
        <v>0</v>
      </c>
      <c r="L59" t="s">
        <v>301</v>
      </c>
      <c r="M59" s="9">
        <v>0</v>
      </c>
      <c r="N59" s="9" t="e">
        <v>#DIV/0!</v>
      </c>
      <c r="O59" t="str">
        <f t="shared" si="1"/>
        <v>Low</v>
      </c>
      <c r="R59" s="13" t="s">
        <v>675</v>
      </c>
      <c r="S59" s="13" t="s">
        <v>380</v>
      </c>
      <c r="T59" s="14" t="s">
        <v>381</v>
      </c>
      <c r="U59" s="15" t="s">
        <v>710</v>
      </c>
      <c r="V59" s="13" t="s">
        <v>675</v>
      </c>
      <c r="W59" s="13" t="s">
        <v>438</v>
      </c>
      <c r="X59" s="14" t="s">
        <v>472</v>
      </c>
      <c r="Y59" s="15" t="s">
        <v>766</v>
      </c>
      <c r="AB59"/>
      <c r="AC59"/>
    </row>
    <row r="60" spans="1:29" ht="15">
      <c r="A60">
        <v>42</v>
      </c>
      <c r="B60" t="s">
        <v>302</v>
      </c>
      <c r="C60">
        <v>7</v>
      </c>
      <c r="D60" t="s">
        <v>303</v>
      </c>
      <c r="E60">
        <v>8</v>
      </c>
      <c r="F60" t="s">
        <v>304</v>
      </c>
      <c r="G60">
        <v>13</v>
      </c>
      <c r="H60" t="s">
        <v>305</v>
      </c>
      <c r="I60">
        <v>3</v>
      </c>
      <c r="J60" t="s">
        <v>767</v>
      </c>
      <c r="K60">
        <v>0</v>
      </c>
      <c r="L60" t="s">
        <v>306</v>
      </c>
      <c r="M60" s="9">
        <v>0.40666666666666662</v>
      </c>
      <c r="N60" s="9" t="e">
        <v>#DIV/0!</v>
      </c>
      <c r="O60" t="str">
        <f t="shared" si="1"/>
        <v>Moderate</v>
      </c>
      <c r="R60" s="13" t="s">
        <v>675</v>
      </c>
      <c r="S60" s="13" t="s">
        <v>380</v>
      </c>
      <c r="T60" s="14" t="s">
        <v>382</v>
      </c>
      <c r="U60" s="15" t="s">
        <v>663</v>
      </c>
      <c r="V60" s="13" t="s">
        <v>675</v>
      </c>
      <c r="W60" s="13" t="s">
        <v>438</v>
      </c>
      <c r="X60" s="14" t="s">
        <v>475</v>
      </c>
      <c r="Y60" s="15" t="s">
        <v>708</v>
      </c>
      <c r="AB60"/>
      <c r="AC60"/>
    </row>
    <row r="61" spans="1:29" ht="15">
      <c r="A61">
        <v>42</v>
      </c>
      <c r="B61" t="s">
        <v>302</v>
      </c>
      <c r="C61">
        <v>7</v>
      </c>
      <c r="E61">
        <v>8</v>
      </c>
      <c r="G61">
        <v>15</v>
      </c>
      <c r="H61" t="s">
        <v>307</v>
      </c>
      <c r="I61">
        <v>5</v>
      </c>
      <c r="J61" t="s">
        <v>768</v>
      </c>
      <c r="K61">
        <v>0</v>
      </c>
      <c r="L61" t="s">
        <v>308</v>
      </c>
      <c r="M61" s="9">
        <v>0.62</v>
      </c>
      <c r="N61" s="9">
        <v>0.1555634918610401</v>
      </c>
      <c r="O61" t="str">
        <f t="shared" si="1"/>
        <v>High</v>
      </c>
      <c r="R61" s="13" t="s">
        <v>675</v>
      </c>
      <c r="S61" s="13" t="s">
        <v>380</v>
      </c>
      <c r="T61" s="14" t="s">
        <v>383</v>
      </c>
      <c r="U61" s="15" t="s">
        <v>769</v>
      </c>
      <c r="V61" s="13" t="s">
        <v>675</v>
      </c>
      <c r="W61" s="13" t="s">
        <v>438</v>
      </c>
      <c r="X61" s="14" t="s">
        <v>476</v>
      </c>
      <c r="Y61" s="15" t="s">
        <v>770</v>
      </c>
      <c r="AB61"/>
      <c r="AC61"/>
    </row>
    <row r="62" spans="1:29" ht="15">
      <c r="A62">
        <v>42</v>
      </c>
      <c r="B62" t="s">
        <v>309</v>
      </c>
      <c r="C62">
        <v>8</v>
      </c>
      <c r="D62" t="s">
        <v>310</v>
      </c>
      <c r="E62">
        <v>0</v>
      </c>
      <c r="F62" t="s">
        <v>616</v>
      </c>
      <c r="G62">
        <v>7</v>
      </c>
      <c r="H62" t="s">
        <v>311</v>
      </c>
      <c r="I62">
        <v>1</v>
      </c>
      <c r="J62" t="s">
        <v>771</v>
      </c>
      <c r="K62">
        <v>0</v>
      </c>
      <c r="L62" t="s">
        <v>312</v>
      </c>
      <c r="M62" s="9">
        <v>0.53600000000000003</v>
      </c>
      <c r="N62" s="9" t="e">
        <v>#DIV/0!</v>
      </c>
      <c r="O62" t="str">
        <f t="shared" si="1"/>
        <v>High</v>
      </c>
      <c r="R62" s="13" t="s">
        <v>675</v>
      </c>
      <c r="S62" s="13" t="s">
        <v>380</v>
      </c>
      <c r="T62" s="14" t="s">
        <v>384</v>
      </c>
      <c r="U62" s="15" t="s">
        <v>772</v>
      </c>
      <c r="V62" s="13" t="s">
        <v>675</v>
      </c>
      <c r="W62" s="13" t="s">
        <v>438</v>
      </c>
      <c r="X62" s="14" t="s">
        <v>477</v>
      </c>
      <c r="Y62" s="15" t="s">
        <v>744</v>
      </c>
      <c r="AB62"/>
      <c r="AC62"/>
    </row>
    <row r="63" spans="1:29" ht="15">
      <c r="A63">
        <v>43</v>
      </c>
      <c r="B63" t="s">
        <v>316</v>
      </c>
      <c r="C63">
        <v>4</v>
      </c>
      <c r="D63" t="s">
        <v>317</v>
      </c>
      <c r="E63">
        <v>1</v>
      </c>
      <c r="F63" t="s">
        <v>318</v>
      </c>
      <c r="G63">
        <v>1</v>
      </c>
      <c r="H63" t="s">
        <v>319</v>
      </c>
      <c r="I63">
        <v>1</v>
      </c>
      <c r="J63" t="s">
        <v>773</v>
      </c>
      <c r="K63">
        <v>0</v>
      </c>
      <c r="L63" t="s">
        <v>320</v>
      </c>
      <c r="M63" s="9">
        <v>0.434</v>
      </c>
      <c r="N63" s="9" t="e">
        <v>#DIV/0!</v>
      </c>
      <c r="O63" t="str">
        <f t="shared" si="1"/>
        <v>Moderate</v>
      </c>
      <c r="R63" s="13" t="s">
        <v>675</v>
      </c>
      <c r="S63" s="13" t="s">
        <v>380</v>
      </c>
      <c r="T63" s="14" t="s">
        <v>387</v>
      </c>
      <c r="U63" s="15" t="s">
        <v>652</v>
      </c>
      <c r="V63" s="13" t="s">
        <v>675</v>
      </c>
      <c r="W63" s="13" t="s">
        <v>438</v>
      </c>
      <c r="X63" s="14" t="s">
        <v>479</v>
      </c>
      <c r="Y63" s="15" t="s">
        <v>774</v>
      </c>
      <c r="AB63"/>
      <c r="AC63"/>
    </row>
    <row r="64" spans="1:29" ht="23.25">
      <c r="A64">
        <v>43</v>
      </c>
      <c r="B64" t="s">
        <v>316</v>
      </c>
      <c r="C64">
        <v>4</v>
      </c>
      <c r="E64">
        <v>5</v>
      </c>
      <c r="F64" t="s">
        <v>324</v>
      </c>
      <c r="G64">
        <v>1</v>
      </c>
      <c r="H64" t="s">
        <v>325</v>
      </c>
      <c r="I64">
        <v>1</v>
      </c>
      <c r="J64" t="s">
        <v>775</v>
      </c>
      <c r="K64">
        <v>0</v>
      </c>
      <c r="L64" t="s">
        <v>679</v>
      </c>
      <c r="M64" s="9">
        <v>0.36199999999999999</v>
      </c>
      <c r="N64" s="9" t="e">
        <v>#DIV/0!</v>
      </c>
      <c r="O64" t="str">
        <f t="shared" si="1"/>
        <v>Moderate</v>
      </c>
      <c r="R64" s="13" t="s">
        <v>675</v>
      </c>
      <c r="S64" s="13" t="s">
        <v>380</v>
      </c>
      <c r="T64" s="14" t="s">
        <v>388</v>
      </c>
      <c r="U64" s="15" t="s">
        <v>776</v>
      </c>
      <c r="V64" s="13" t="s">
        <v>675</v>
      </c>
      <c r="W64" s="13" t="s">
        <v>438</v>
      </c>
      <c r="X64" s="14" t="s">
        <v>483</v>
      </c>
      <c r="Y64" s="15" t="s">
        <v>754</v>
      </c>
      <c r="AB64"/>
      <c r="AC64"/>
    </row>
    <row r="65" spans="1:29" ht="23.25">
      <c r="A65">
        <v>43</v>
      </c>
      <c r="B65" t="s">
        <v>316</v>
      </c>
      <c r="C65">
        <v>4</v>
      </c>
      <c r="E65">
        <v>5</v>
      </c>
      <c r="G65">
        <v>2</v>
      </c>
      <c r="H65" t="s">
        <v>328</v>
      </c>
      <c r="I65">
        <v>8</v>
      </c>
      <c r="J65" t="s">
        <v>777</v>
      </c>
      <c r="K65">
        <v>0</v>
      </c>
      <c r="L65" t="s">
        <v>329</v>
      </c>
      <c r="M65" s="9">
        <v>0.89173155357804967</v>
      </c>
      <c r="N65" s="9" t="e">
        <v>#DIV/0!</v>
      </c>
      <c r="O65" t="str">
        <f t="shared" si="1"/>
        <v>Very High</v>
      </c>
      <c r="R65" s="13" t="s">
        <v>675</v>
      </c>
      <c r="S65" s="13" t="s">
        <v>380</v>
      </c>
      <c r="T65" s="14" t="s">
        <v>391</v>
      </c>
      <c r="U65" s="15" t="s">
        <v>663</v>
      </c>
      <c r="V65" s="13" t="s">
        <v>675</v>
      </c>
      <c r="W65" s="13" t="s">
        <v>438</v>
      </c>
      <c r="X65" s="14" t="s">
        <v>487</v>
      </c>
      <c r="Y65" s="15" t="s">
        <v>778</v>
      </c>
      <c r="AB65"/>
      <c r="AC65"/>
    </row>
    <row r="66" spans="1:29" ht="23.25">
      <c r="A66">
        <v>43</v>
      </c>
      <c r="B66" t="s">
        <v>316</v>
      </c>
      <c r="C66">
        <v>4</v>
      </c>
      <c r="E66">
        <v>5</v>
      </c>
      <c r="G66">
        <v>2</v>
      </c>
      <c r="I66">
        <v>9</v>
      </c>
      <c r="J66" t="s">
        <v>779</v>
      </c>
      <c r="K66">
        <v>0</v>
      </c>
      <c r="L66" t="s">
        <v>331</v>
      </c>
      <c r="M66" s="9">
        <v>0.63</v>
      </c>
      <c r="N66" s="9" t="e">
        <v>#DIV/0!</v>
      </c>
      <c r="O66" t="str">
        <f t="shared" ref="O66:O97" si="2">IF(M66&lt;0.18,"Low",IF(M66&lt;0.44,"Moderate",IF(M66&lt;0.77,"High", "Very High")))</f>
        <v>High</v>
      </c>
      <c r="R66" s="13" t="s">
        <v>675</v>
      </c>
      <c r="S66" s="13" t="s">
        <v>380</v>
      </c>
      <c r="T66" s="14" t="s">
        <v>392</v>
      </c>
      <c r="U66" s="15" t="s">
        <v>762</v>
      </c>
      <c r="V66" s="13" t="s">
        <v>675</v>
      </c>
      <c r="W66" s="13" t="s">
        <v>438</v>
      </c>
      <c r="X66" s="14" t="s">
        <v>485</v>
      </c>
      <c r="Y66" s="15" t="s">
        <v>708</v>
      </c>
      <c r="AB66"/>
      <c r="AC66"/>
    </row>
    <row r="67" spans="1:29" ht="23.25">
      <c r="A67">
        <v>43</v>
      </c>
      <c r="B67" t="s">
        <v>316</v>
      </c>
      <c r="C67">
        <v>4</v>
      </c>
      <c r="E67">
        <v>5</v>
      </c>
      <c r="G67">
        <v>2</v>
      </c>
      <c r="I67">
        <v>16</v>
      </c>
      <c r="J67" t="s">
        <v>780</v>
      </c>
      <c r="K67">
        <v>0</v>
      </c>
      <c r="L67" t="s">
        <v>332</v>
      </c>
      <c r="M67" s="9">
        <v>0.373</v>
      </c>
      <c r="N67" s="9" t="e">
        <v>#DIV/0!</v>
      </c>
      <c r="O67" t="str">
        <f t="shared" si="2"/>
        <v>Moderate</v>
      </c>
      <c r="R67" s="13" t="s">
        <v>675</v>
      </c>
      <c r="S67" s="13" t="s">
        <v>380</v>
      </c>
      <c r="T67" s="14" t="s">
        <v>394</v>
      </c>
      <c r="U67" s="15" t="s">
        <v>663</v>
      </c>
      <c r="V67" s="13" t="s">
        <v>675</v>
      </c>
      <c r="W67" s="13" t="s">
        <v>438</v>
      </c>
      <c r="X67" s="14" t="s">
        <v>489</v>
      </c>
      <c r="Y67" s="15" t="s">
        <v>685</v>
      </c>
      <c r="AB67"/>
      <c r="AC67"/>
    </row>
    <row r="68" spans="1:29" ht="15">
      <c r="A68">
        <v>43</v>
      </c>
      <c r="B68" t="s">
        <v>316</v>
      </c>
      <c r="C68">
        <v>4</v>
      </c>
      <c r="E68">
        <v>5</v>
      </c>
      <c r="G68">
        <v>2</v>
      </c>
      <c r="I68">
        <v>16</v>
      </c>
      <c r="K68">
        <v>0</v>
      </c>
      <c r="L68" t="s">
        <v>333</v>
      </c>
      <c r="M68" s="9">
        <v>0.152</v>
      </c>
      <c r="N68" s="9" t="e">
        <v>#DIV/0!</v>
      </c>
      <c r="O68" t="str">
        <f t="shared" si="2"/>
        <v>Low</v>
      </c>
      <c r="R68" s="13" t="s">
        <v>675</v>
      </c>
      <c r="S68" s="13" t="s">
        <v>380</v>
      </c>
      <c r="T68" s="14" t="s">
        <v>395</v>
      </c>
      <c r="U68" s="15" t="s">
        <v>727</v>
      </c>
      <c r="V68" s="13" t="s">
        <v>675</v>
      </c>
      <c r="W68" s="13" t="s">
        <v>438</v>
      </c>
      <c r="X68" s="14" t="s">
        <v>491</v>
      </c>
      <c r="Y68" s="15" t="s">
        <v>781</v>
      </c>
      <c r="AB68"/>
      <c r="AC68"/>
    </row>
    <row r="69" spans="1:29" ht="23.25">
      <c r="A69">
        <v>43</v>
      </c>
      <c r="B69" t="s">
        <v>316</v>
      </c>
      <c r="C69">
        <v>4</v>
      </c>
      <c r="E69">
        <v>6</v>
      </c>
      <c r="F69" t="s">
        <v>334</v>
      </c>
      <c r="G69">
        <v>8</v>
      </c>
      <c r="H69" t="s">
        <v>335</v>
      </c>
      <c r="I69">
        <v>1</v>
      </c>
      <c r="J69" t="s">
        <v>782</v>
      </c>
      <c r="K69">
        <v>0</v>
      </c>
      <c r="L69" t="s">
        <v>336</v>
      </c>
      <c r="M69" s="9">
        <v>0.38800000000000001</v>
      </c>
      <c r="N69" s="9">
        <v>0.14849242404917484</v>
      </c>
      <c r="O69" t="str">
        <f t="shared" si="2"/>
        <v>Moderate</v>
      </c>
      <c r="R69" s="13" t="s">
        <v>675</v>
      </c>
      <c r="S69" s="13" t="s">
        <v>380</v>
      </c>
      <c r="T69" s="14" t="s">
        <v>396</v>
      </c>
      <c r="U69" s="15" t="s">
        <v>783</v>
      </c>
      <c r="V69" s="13" t="s">
        <v>675</v>
      </c>
      <c r="W69" s="13" t="s">
        <v>438</v>
      </c>
      <c r="X69" s="14" t="s">
        <v>503</v>
      </c>
      <c r="Y69" s="15" t="s">
        <v>784</v>
      </c>
      <c r="AB69"/>
      <c r="AC69"/>
    </row>
    <row r="70" spans="1:29" ht="23.25">
      <c r="A70">
        <v>43</v>
      </c>
      <c r="B70" t="s">
        <v>316</v>
      </c>
      <c r="C70">
        <v>4</v>
      </c>
      <c r="E70">
        <v>6</v>
      </c>
      <c r="G70">
        <v>8</v>
      </c>
      <c r="I70">
        <v>3</v>
      </c>
      <c r="J70" t="s">
        <v>785</v>
      </c>
      <c r="K70">
        <v>0</v>
      </c>
      <c r="L70" t="s">
        <v>337</v>
      </c>
      <c r="M70" s="9">
        <v>0.45300000000000001</v>
      </c>
      <c r="N70" s="9">
        <v>1.8384776310850372E-2</v>
      </c>
      <c r="O70" t="str">
        <f t="shared" si="2"/>
        <v>High</v>
      </c>
      <c r="R70" s="13" t="s">
        <v>675</v>
      </c>
      <c r="S70" s="13" t="s">
        <v>408</v>
      </c>
      <c r="T70" s="14" t="s">
        <v>409</v>
      </c>
      <c r="U70" s="15" t="s">
        <v>786</v>
      </c>
      <c r="V70" s="13" t="s">
        <v>675</v>
      </c>
      <c r="W70" s="13" t="s">
        <v>438</v>
      </c>
      <c r="X70" s="14" t="s">
        <v>532</v>
      </c>
      <c r="Y70" s="15" t="s">
        <v>787</v>
      </c>
      <c r="AB70"/>
      <c r="AC70"/>
    </row>
    <row r="71" spans="1:29" ht="23.25">
      <c r="A71">
        <v>43</v>
      </c>
      <c r="B71" t="s">
        <v>316</v>
      </c>
      <c r="C71">
        <v>4</v>
      </c>
      <c r="E71">
        <v>6</v>
      </c>
      <c r="G71">
        <v>9</v>
      </c>
      <c r="H71" t="s">
        <v>338</v>
      </c>
      <c r="I71">
        <v>2</v>
      </c>
      <c r="J71" t="s">
        <v>788</v>
      </c>
      <c r="K71">
        <v>0</v>
      </c>
      <c r="L71" t="s">
        <v>339</v>
      </c>
      <c r="M71" s="9">
        <v>0.59799999999999998</v>
      </c>
      <c r="N71" s="9" t="e">
        <v>#DIV/0!</v>
      </c>
      <c r="O71" t="str">
        <f t="shared" si="2"/>
        <v>High</v>
      </c>
      <c r="R71" s="13" t="s">
        <v>675</v>
      </c>
      <c r="S71" s="13" t="s">
        <v>408</v>
      </c>
      <c r="T71" s="14" t="s">
        <v>410</v>
      </c>
      <c r="U71" s="15" t="s">
        <v>789</v>
      </c>
      <c r="V71" s="13" t="s">
        <v>675</v>
      </c>
      <c r="W71" s="13" t="s">
        <v>438</v>
      </c>
      <c r="X71" s="14" t="s">
        <v>529</v>
      </c>
      <c r="Y71" s="15" t="s">
        <v>790</v>
      </c>
      <c r="AB71"/>
      <c r="AC71"/>
    </row>
    <row r="72" spans="1:29" ht="23.25">
      <c r="A72">
        <v>43</v>
      </c>
      <c r="B72" t="s">
        <v>316</v>
      </c>
      <c r="C72">
        <v>4</v>
      </c>
      <c r="E72">
        <v>6</v>
      </c>
      <c r="G72">
        <v>9</v>
      </c>
      <c r="I72">
        <v>2</v>
      </c>
      <c r="K72">
        <v>0</v>
      </c>
      <c r="L72" t="s">
        <v>340</v>
      </c>
      <c r="M72" s="9">
        <v>0.56299999999999994</v>
      </c>
      <c r="N72" s="9" t="e">
        <v>#DIV/0!</v>
      </c>
      <c r="O72" t="str">
        <f t="shared" si="2"/>
        <v>High</v>
      </c>
      <c r="R72" s="13" t="s">
        <v>675</v>
      </c>
      <c r="S72" s="13" t="s">
        <v>408</v>
      </c>
      <c r="T72" s="14" t="s">
        <v>411</v>
      </c>
      <c r="U72" s="15" t="s">
        <v>791</v>
      </c>
      <c r="V72" s="13" t="s">
        <v>675</v>
      </c>
      <c r="W72" s="13" t="s">
        <v>438</v>
      </c>
      <c r="X72" s="14" t="s">
        <v>493</v>
      </c>
      <c r="Y72" s="15" t="s">
        <v>792</v>
      </c>
      <c r="AB72"/>
      <c r="AC72"/>
    </row>
    <row r="73" spans="1:29" ht="23.25">
      <c r="A73">
        <v>43</v>
      </c>
      <c r="B73" t="s">
        <v>316</v>
      </c>
      <c r="C73">
        <v>4</v>
      </c>
      <c r="E73">
        <v>6</v>
      </c>
      <c r="G73">
        <v>9</v>
      </c>
      <c r="I73">
        <v>4</v>
      </c>
      <c r="J73" t="s">
        <v>793</v>
      </c>
      <c r="K73">
        <v>0</v>
      </c>
      <c r="L73" t="s">
        <v>341</v>
      </c>
      <c r="M73" s="9">
        <v>0.53700000000000003</v>
      </c>
      <c r="N73" s="9" t="e">
        <v>#DIV/0!</v>
      </c>
      <c r="O73" t="str">
        <f t="shared" si="2"/>
        <v>High</v>
      </c>
      <c r="R73" s="13" t="s">
        <v>675</v>
      </c>
      <c r="S73" s="13" t="s">
        <v>408</v>
      </c>
      <c r="T73" s="14" t="s">
        <v>412</v>
      </c>
      <c r="U73" s="15" t="s">
        <v>794</v>
      </c>
      <c r="V73" s="13" t="s">
        <v>675</v>
      </c>
      <c r="W73" s="13" t="s">
        <v>438</v>
      </c>
      <c r="X73" s="14" t="s">
        <v>497</v>
      </c>
      <c r="Y73" s="15" t="s">
        <v>795</v>
      </c>
      <c r="AB73"/>
      <c r="AC73"/>
    </row>
    <row r="74" spans="1:29" ht="23.25">
      <c r="A74">
        <v>43</v>
      </c>
      <c r="B74" t="s">
        <v>316</v>
      </c>
      <c r="C74">
        <v>4</v>
      </c>
      <c r="E74">
        <v>6</v>
      </c>
      <c r="G74">
        <v>9</v>
      </c>
      <c r="I74">
        <v>12</v>
      </c>
      <c r="J74" t="s">
        <v>796</v>
      </c>
      <c r="K74">
        <v>0</v>
      </c>
      <c r="L74" t="s">
        <v>342</v>
      </c>
      <c r="M74" s="9">
        <v>0.504</v>
      </c>
      <c r="N74" s="9" t="e">
        <v>#DIV/0!</v>
      </c>
      <c r="O74" t="str">
        <f t="shared" si="2"/>
        <v>High</v>
      </c>
      <c r="R74" s="13" t="s">
        <v>675</v>
      </c>
      <c r="S74" s="13" t="s">
        <v>408</v>
      </c>
      <c r="T74" s="14" t="s">
        <v>413</v>
      </c>
      <c r="U74" s="15" t="s">
        <v>797</v>
      </c>
      <c r="V74" s="13" t="s">
        <v>675</v>
      </c>
      <c r="W74" s="13" t="s">
        <v>438</v>
      </c>
      <c r="X74" s="14" t="s">
        <v>495</v>
      </c>
      <c r="Y74" s="15" t="s">
        <v>712</v>
      </c>
      <c r="AB74"/>
      <c r="AC74"/>
    </row>
    <row r="75" spans="1:29" ht="23.25">
      <c r="A75">
        <v>43</v>
      </c>
      <c r="B75" t="s">
        <v>316</v>
      </c>
      <c r="C75">
        <v>4</v>
      </c>
      <c r="E75">
        <v>6</v>
      </c>
      <c r="G75">
        <v>9</v>
      </c>
      <c r="I75">
        <v>26</v>
      </c>
      <c r="J75" t="s">
        <v>798</v>
      </c>
      <c r="K75">
        <v>0</v>
      </c>
      <c r="L75" t="s">
        <v>343</v>
      </c>
      <c r="M75" s="9">
        <v>0.22900000000000001</v>
      </c>
      <c r="N75" s="9" t="e">
        <v>#DIV/0!</v>
      </c>
      <c r="O75" t="str">
        <f t="shared" si="2"/>
        <v>Moderate</v>
      </c>
      <c r="R75" s="13" t="s">
        <v>675</v>
      </c>
      <c r="S75" s="13" t="s">
        <v>408</v>
      </c>
      <c r="T75" s="14" t="s">
        <v>414</v>
      </c>
      <c r="U75" s="15" t="s">
        <v>799</v>
      </c>
      <c r="V75" s="13" t="s">
        <v>675</v>
      </c>
      <c r="W75" s="13" t="s">
        <v>438</v>
      </c>
      <c r="X75" s="14" t="s">
        <v>536</v>
      </c>
      <c r="Y75" s="15" t="s">
        <v>673</v>
      </c>
      <c r="AB75"/>
      <c r="AC75"/>
    </row>
    <row r="76" spans="1:29" ht="23.25">
      <c r="A76">
        <v>43</v>
      </c>
      <c r="B76" t="s">
        <v>316</v>
      </c>
      <c r="C76">
        <v>4</v>
      </c>
      <c r="E76">
        <v>6</v>
      </c>
      <c r="G76">
        <v>9</v>
      </c>
      <c r="I76">
        <v>27</v>
      </c>
      <c r="J76" t="s">
        <v>800</v>
      </c>
      <c r="K76">
        <v>0</v>
      </c>
      <c r="L76" t="s">
        <v>344</v>
      </c>
      <c r="M76" s="9">
        <v>0.65</v>
      </c>
      <c r="N76" s="9" t="e">
        <v>#DIV/0!</v>
      </c>
      <c r="O76" t="str">
        <f t="shared" si="2"/>
        <v>High</v>
      </c>
      <c r="R76" s="13" t="s">
        <v>675</v>
      </c>
      <c r="S76" s="13" t="s">
        <v>408</v>
      </c>
      <c r="T76" s="14" t="s">
        <v>415</v>
      </c>
      <c r="U76" s="15" t="s">
        <v>801</v>
      </c>
      <c r="V76" s="13" t="s">
        <v>675</v>
      </c>
      <c r="W76" s="13" t="s">
        <v>537</v>
      </c>
      <c r="X76" s="14" t="s">
        <v>538</v>
      </c>
      <c r="Y76" s="15" t="s">
        <v>802</v>
      </c>
      <c r="AB76"/>
      <c r="AC76"/>
    </row>
    <row r="77" spans="1:29" ht="23.25">
      <c r="A77">
        <v>43</v>
      </c>
      <c r="B77" t="s">
        <v>316</v>
      </c>
      <c r="C77">
        <v>4</v>
      </c>
      <c r="E77">
        <v>6</v>
      </c>
      <c r="G77">
        <v>13</v>
      </c>
      <c r="H77" t="s">
        <v>345</v>
      </c>
      <c r="I77">
        <v>11</v>
      </c>
      <c r="J77" t="s">
        <v>803</v>
      </c>
      <c r="K77">
        <v>0</v>
      </c>
      <c r="L77" t="s">
        <v>346</v>
      </c>
      <c r="M77" s="9">
        <v>0.29399999999999998</v>
      </c>
      <c r="N77" s="9" t="e">
        <v>#DIV/0!</v>
      </c>
      <c r="O77" t="str">
        <f t="shared" si="2"/>
        <v>Moderate</v>
      </c>
      <c r="R77" s="13" t="s">
        <v>675</v>
      </c>
      <c r="S77" s="13" t="s">
        <v>408</v>
      </c>
      <c r="T77" s="14" t="s">
        <v>416</v>
      </c>
      <c r="U77" s="15" t="s">
        <v>699</v>
      </c>
      <c r="V77" s="13" t="s">
        <v>675</v>
      </c>
      <c r="W77" s="13" t="s">
        <v>537</v>
      </c>
      <c r="X77" s="14" t="s">
        <v>539</v>
      </c>
      <c r="Y77" s="15" t="s">
        <v>707</v>
      </c>
      <c r="AB77"/>
      <c r="AC77"/>
    </row>
    <row r="78" spans="1:29" ht="34.5">
      <c r="A78">
        <v>43</v>
      </c>
      <c r="B78" t="s">
        <v>316</v>
      </c>
      <c r="C78">
        <v>4</v>
      </c>
      <c r="E78">
        <v>6</v>
      </c>
      <c r="G78">
        <v>13</v>
      </c>
      <c r="I78">
        <v>11</v>
      </c>
      <c r="K78">
        <v>0</v>
      </c>
      <c r="L78" t="s">
        <v>347</v>
      </c>
      <c r="M78" s="9">
        <v>0.153</v>
      </c>
      <c r="N78" s="9" t="e">
        <v>#DIV/0!</v>
      </c>
      <c r="O78" t="str">
        <f t="shared" si="2"/>
        <v>Low</v>
      </c>
      <c r="R78" s="13" t="s">
        <v>675</v>
      </c>
      <c r="S78" s="13" t="s">
        <v>408</v>
      </c>
      <c r="T78" s="14" t="s">
        <v>417</v>
      </c>
      <c r="U78" s="15" t="s">
        <v>804</v>
      </c>
      <c r="V78" s="13" t="s">
        <v>675</v>
      </c>
      <c r="W78" s="13" t="s">
        <v>537</v>
      </c>
      <c r="X78" s="14" t="s">
        <v>540</v>
      </c>
      <c r="Y78" s="15" t="s">
        <v>702</v>
      </c>
      <c r="AB78"/>
      <c r="AC78"/>
    </row>
    <row r="79" spans="1:29" ht="23.25">
      <c r="A79">
        <v>43</v>
      </c>
      <c r="B79" t="s">
        <v>316</v>
      </c>
      <c r="C79">
        <v>4</v>
      </c>
      <c r="E79">
        <v>6</v>
      </c>
      <c r="G79">
        <v>13</v>
      </c>
      <c r="I79">
        <v>11</v>
      </c>
      <c r="K79">
        <v>0</v>
      </c>
      <c r="L79" t="s">
        <v>348</v>
      </c>
      <c r="M79" s="9">
        <v>0.46700000000000003</v>
      </c>
      <c r="N79" s="9" t="e">
        <v>#DIV/0!</v>
      </c>
      <c r="O79" t="str">
        <f t="shared" si="2"/>
        <v>High</v>
      </c>
      <c r="R79" s="13" t="s">
        <v>675</v>
      </c>
      <c r="S79" s="13" t="s">
        <v>418</v>
      </c>
      <c r="T79" s="14" t="s">
        <v>419</v>
      </c>
      <c r="U79" s="15" t="s">
        <v>663</v>
      </c>
      <c r="V79" s="13" t="s">
        <v>805</v>
      </c>
      <c r="W79" s="13" t="s">
        <v>543</v>
      </c>
      <c r="X79" s="14" t="s">
        <v>544</v>
      </c>
      <c r="Y79" s="15" t="s">
        <v>806</v>
      </c>
      <c r="AB79"/>
      <c r="AC79"/>
    </row>
    <row r="80" spans="1:29" ht="23.25">
      <c r="A80">
        <v>43</v>
      </c>
      <c r="B80" t="s">
        <v>316</v>
      </c>
      <c r="C80">
        <v>4</v>
      </c>
      <c r="E80">
        <v>6</v>
      </c>
      <c r="G80">
        <v>15</v>
      </c>
      <c r="H80" t="s">
        <v>349</v>
      </c>
      <c r="I80">
        <v>1</v>
      </c>
      <c r="J80" t="s">
        <v>807</v>
      </c>
      <c r="K80">
        <v>0</v>
      </c>
      <c r="L80" t="s">
        <v>350</v>
      </c>
      <c r="M80" s="9">
        <v>0.33200000000000002</v>
      </c>
      <c r="N80" s="9" t="e">
        <v>#DIV/0!</v>
      </c>
      <c r="O80" t="str">
        <f t="shared" si="2"/>
        <v>Moderate</v>
      </c>
      <c r="R80" s="13" t="s">
        <v>675</v>
      </c>
      <c r="S80" s="13" t="s">
        <v>418</v>
      </c>
      <c r="T80" s="14" t="s">
        <v>420</v>
      </c>
      <c r="U80" s="15" t="s">
        <v>808</v>
      </c>
      <c r="V80" s="13" t="s">
        <v>809</v>
      </c>
      <c r="W80" s="13" t="s">
        <v>549</v>
      </c>
      <c r="X80" s="14" t="s">
        <v>550</v>
      </c>
      <c r="Y80" s="15" t="s">
        <v>810</v>
      </c>
      <c r="AB80"/>
      <c r="AC80"/>
    </row>
    <row r="81" spans="1:29" ht="23.25">
      <c r="A81">
        <v>43</v>
      </c>
      <c r="B81" t="s">
        <v>316</v>
      </c>
      <c r="C81">
        <v>4</v>
      </c>
      <c r="E81">
        <v>6</v>
      </c>
      <c r="G81">
        <v>15</v>
      </c>
      <c r="I81">
        <v>2</v>
      </c>
      <c r="J81" t="s">
        <v>811</v>
      </c>
      <c r="K81">
        <v>0</v>
      </c>
      <c r="L81" t="s">
        <v>351</v>
      </c>
      <c r="M81" s="9">
        <v>0.32350000000000001</v>
      </c>
      <c r="N81" s="9">
        <v>0.32456201256462541</v>
      </c>
      <c r="O81" t="str">
        <f t="shared" si="2"/>
        <v>Moderate</v>
      </c>
      <c r="R81" s="13" t="s">
        <v>675</v>
      </c>
      <c r="S81" s="13" t="s">
        <v>418</v>
      </c>
      <c r="T81" s="14" t="s">
        <v>421</v>
      </c>
      <c r="U81" s="15" t="s">
        <v>727</v>
      </c>
      <c r="V81" s="13" t="s">
        <v>809</v>
      </c>
      <c r="W81" s="13" t="s">
        <v>557</v>
      </c>
      <c r="X81" s="14" t="s">
        <v>558</v>
      </c>
      <c r="Y81" s="15" t="s">
        <v>703</v>
      </c>
      <c r="AB81"/>
      <c r="AC81"/>
    </row>
    <row r="82" spans="1:29" ht="23.25">
      <c r="A82">
        <v>43</v>
      </c>
      <c r="B82" t="s">
        <v>316</v>
      </c>
      <c r="C82">
        <v>4</v>
      </c>
      <c r="E82">
        <v>6</v>
      </c>
      <c r="G82">
        <v>16</v>
      </c>
      <c r="H82" t="s">
        <v>352</v>
      </c>
      <c r="I82">
        <v>4</v>
      </c>
      <c r="J82" t="s">
        <v>812</v>
      </c>
      <c r="K82">
        <v>1</v>
      </c>
      <c r="L82" t="s">
        <v>353</v>
      </c>
      <c r="M82" s="9">
        <v>0</v>
      </c>
      <c r="N82" s="9">
        <v>0</v>
      </c>
      <c r="O82" t="str">
        <f t="shared" si="2"/>
        <v>Low</v>
      </c>
      <c r="R82" s="13" t="s">
        <v>675</v>
      </c>
      <c r="S82" s="13" t="s">
        <v>422</v>
      </c>
      <c r="T82" s="14" t="s">
        <v>423</v>
      </c>
      <c r="U82" s="15" t="s">
        <v>732</v>
      </c>
      <c r="V82" s="13" t="s">
        <v>809</v>
      </c>
      <c r="W82" s="13" t="s">
        <v>560</v>
      </c>
      <c r="X82" s="14" t="s">
        <v>561</v>
      </c>
      <c r="Y82" s="15" t="s">
        <v>813</v>
      </c>
      <c r="AB82"/>
      <c r="AC82"/>
    </row>
    <row r="83" spans="1:29" ht="23.25">
      <c r="A83">
        <v>43</v>
      </c>
      <c r="B83" t="s">
        <v>316</v>
      </c>
      <c r="C83">
        <v>4</v>
      </c>
      <c r="E83">
        <v>6</v>
      </c>
      <c r="G83">
        <v>16</v>
      </c>
      <c r="I83">
        <v>4</v>
      </c>
      <c r="K83">
        <v>2</v>
      </c>
      <c r="L83" t="s">
        <v>354</v>
      </c>
      <c r="M83" s="9">
        <v>0.20300000000000001</v>
      </c>
      <c r="N83" s="9" t="e">
        <v>#DIV/0!</v>
      </c>
      <c r="O83" t="str">
        <f t="shared" si="2"/>
        <v>Moderate</v>
      </c>
      <c r="R83" s="13" t="s">
        <v>675</v>
      </c>
      <c r="S83" s="13" t="s">
        <v>422</v>
      </c>
      <c r="T83" s="14" t="s">
        <v>424</v>
      </c>
      <c r="U83" s="15" t="s">
        <v>814</v>
      </c>
      <c r="V83" s="22"/>
      <c r="W83" s="22"/>
      <c r="X83" s="22"/>
      <c r="Y83" s="22"/>
      <c r="AB83"/>
      <c r="AC83"/>
    </row>
    <row r="84" spans="1:29" ht="15">
      <c r="A84">
        <v>43</v>
      </c>
      <c r="B84" t="s">
        <v>316</v>
      </c>
      <c r="C84">
        <v>4</v>
      </c>
      <c r="E84">
        <v>6</v>
      </c>
      <c r="G84">
        <v>16</v>
      </c>
      <c r="I84">
        <v>4</v>
      </c>
      <c r="K84">
        <v>2</v>
      </c>
      <c r="L84" t="s">
        <v>355</v>
      </c>
      <c r="M84" s="9">
        <v>0.104</v>
      </c>
      <c r="N84" s="9" t="e">
        <v>#DIV/0!</v>
      </c>
      <c r="O84" t="str">
        <f t="shared" si="2"/>
        <v>Low</v>
      </c>
      <c r="AB84"/>
      <c r="AC84"/>
    </row>
    <row r="85" spans="1:29" ht="15">
      <c r="A85">
        <v>43</v>
      </c>
      <c r="B85" t="s">
        <v>316</v>
      </c>
      <c r="C85">
        <v>4</v>
      </c>
      <c r="E85">
        <v>6</v>
      </c>
      <c r="G85">
        <v>16</v>
      </c>
      <c r="I85">
        <v>4</v>
      </c>
      <c r="K85">
        <v>2</v>
      </c>
      <c r="L85" t="s">
        <v>356</v>
      </c>
      <c r="M85" s="9">
        <v>1.5000000000000013E-2</v>
      </c>
      <c r="N85" s="9" t="e">
        <v>#DIV/0!</v>
      </c>
      <c r="O85" t="str">
        <f t="shared" si="2"/>
        <v>Low</v>
      </c>
      <c r="AB85"/>
      <c r="AC85"/>
    </row>
    <row r="86" spans="1:29" ht="15">
      <c r="A86">
        <v>43</v>
      </c>
      <c r="B86" t="s">
        <v>316</v>
      </c>
      <c r="C86">
        <v>4</v>
      </c>
      <c r="E86">
        <v>6</v>
      </c>
      <c r="G86">
        <v>16</v>
      </c>
      <c r="I86">
        <v>4</v>
      </c>
      <c r="K86">
        <v>2</v>
      </c>
      <c r="L86" t="s">
        <v>357</v>
      </c>
      <c r="M86" s="9">
        <v>0.16999999999999998</v>
      </c>
      <c r="N86" s="9">
        <v>0.1598061325481597</v>
      </c>
      <c r="O86" t="str">
        <f t="shared" si="2"/>
        <v>Low</v>
      </c>
      <c r="AB86"/>
      <c r="AC86"/>
    </row>
    <row r="87" spans="1:29" ht="15">
      <c r="A87">
        <v>43</v>
      </c>
      <c r="B87" t="s">
        <v>316</v>
      </c>
      <c r="C87">
        <v>4</v>
      </c>
      <c r="E87">
        <v>6</v>
      </c>
      <c r="G87">
        <v>16</v>
      </c>
      <c r="I87">
        <v>5</v>
      </c>
      <c r="J87" t="s">
        <v>815</v>
      </c>
      <c r="K87">
        <v>0</v>
      </c>
      <c r="L87" t="s">
        <v>359</v>
      </c>
      <c r="M87" s="9">
        <v>0.50749999999999995</v>
      </c>
      <c r="N87" s="9">
        <v>8.1317279836453774E-2</v>
      </c>
      <c r="O87" t="str">
        <f t="shared" si="2"/>
        <v>High</v>
      </c>
      <c r="AB87"/>
      <c r="AC87"/>
    </row>
    <row r="88" spans="1:29" ht="15">
      <c r="A88">
        <v>43</v>
      </c>
      <c r="B88" t="s">
        <v>316</v>
      </c>
      <c r="C88">
        <v>4</v>
      </c>
      <c r="E88">
        <v>6</v>
      </c>
      <c r="G88">
        <v>16</v>
      </c>
      <c r="I88">
        <v>14</v>
      </c>
      <c r="J88" t="s">
        <v>816</v>
      </c>
      <c r="K88">
        <v>0</v>
      </c>
      <c r="L88" t="s">
        <v>360</v>
      </c>
      <c r="M88" s="9">
        <v>0.252</v>
      </c>
      <c r="N88" s="9" t="e">
        <v>#DIV/0!</v>
      </c>
      <c r="O88" t="str">
        <f t="shared" si="2"/>
        <v>Moderate</v>
      </c>
      <c r="AB88"/>
      <c r="AC88"/>
    </row>
    <row r="89" spans="1:29" ht="15">
      <c r="A89">
        <v>43</v>
      </c>
      <c r="B89" t="s">
        <v>316</v>
      </c>
      <c r="C89">
        <v>4</v>
      </c>
      <c r="E89">
        <v>6</v>
      </c>
      <c r="G89">
        <v>23</v>
      </c>
      <c r="H89" t="s">
        <v>361</v>
      </c>
      <c r="I89">
        <v>1</v>
      </c>
      <c r="J89" t="s">
        <v>817</v>
      </c>
      <c r="K89">
        <v>0</v>
      </c>
      <c r="L89" t="s">
        <v>362</v>
      </c>
      <c r="M89" s="9">
        <v>0.63500000000000001</v>
      </c>
      <c r="N89" s="9" t="e">
        <v>#DIV/0!</v>
      </c>
      <c r="O89" t="str">
        <f t="shared" si="2"/>
        <v>High</v>
      </c>
      <c r="AB89"/>
      <c r="AC89"/>
    </row>
    <row r="90" spans="1:29" ht="15">
      <c r="A90">
        <v>43</v>
      </c>
      <c r="B90" t="s">
        <v>316</v>
      </c>
      <c r="C90">
        <v>4</v>
      </c>
      <c r="E90">
        <v>6</v>
      </c>
      <c r="G90">
        <v>24</v>
      </c>
      <c r="H90" t="s">
        <v>363</v>
      </c>
      <c r="I90">
        <v>1</v>
      </c>
      <c r="J90" t="s">
        <v>818</v>
      </c>
      <c r="K90">
        <v>0</v>
      </c>
      <c r="L90" t="s">
        <v>364</v>
      </c>
      <c r="M90" s="9">
        <v>0.39100000000000001</v>
      </c>
      <c r="N90" s="9" t="e">
        <v>#DIV/0!</v>
      </c>
      <c r="O90" t="str">
        <f t="shared" si="2"/>
        <v>Moderate</v>
      </c>
      <c r="AB90"/>
      <c r="AC90"/>
    </row>
    <row r="91" spans="1:29" ht="15">
      <c r="A91">
        <v>43</v>
      </c>
      <c r="B91" t="s">
        <v>316</v>
      </c>
      <c r="C91">
        <v>4</v>
      </c>
      <c r="E91">
        <v>6</v>
      </c>
      <c r="G91">
        <v>25</v>
      </c>
      <c r="H91" t="s">
        <v>365</v>
      </c>
      <c r="I91">
        <v>0</v>
      </c>
      <c r="J91" t="s">
        <v>819</v>
      </c>
      <c r="K91">
        <v>0</v>
      </c>
      <c r="L91" t="s">
        <v>366</v>
      </c>
      <c r="M91" s="9">
        <v>0.34899999999999998</v>
      </c>
      <c r="N91" s="9" t="e">
        <v>#DIV/0!</v>
      </c>
      <c r="O91" t="str">
        <f t="shared" si="2"/>
        <v>Moderate</v>
      </c>
      <c r="AB91"/>
      <c r="AC91"/>
    </row>
    <row r="92" spans="1:29" ht="15">
      <c r="A92">
        <v>43</v>
      </c>
      <c r="B92" t="s">
        <v>316</v>
      </c>
      <c r="C92">
        <v>4</v>
      </c>
      <c r="E92">
        <v>6</v>
      </c>
      <c r="G92">
        <v>25</v>
      </c>
      <c r="I92">
        <v>0</v>
      </c>
      <c r="J92" t="s">
        <v>820</v>
      </c>
      <c r="K92">
        <v>0</v>
      </c>
      <c r="L92" t="s">
        <v>367</v>
      </c>
      <c r="M92" s="9">
        <v>0.502</v>
      </c>
      <c r="N92" s="9" t="e">
        <v>#DIV/0!</v>
      </c>
      <c r="O92" t="str">
        <f t="shared" si="2"/>
        <v>High</v>
      </c>
      <c r="AB92"/>
      <c r="AC92"/>
    </row>
    <row r="93" spans="1:29" ht="15">
      <c r="A93">
        <v>43</v>
      </c>
      <c r="B93" t="s">
        <v>316</v>
      </c>
      <c r="C93">
        <v>4</v>
      </c>
      <c r="E93">
        <v>6</v>
      </c>
      <c r="G93">
        <v>25</v>
      </c>
      <c r="I93">
        <v>3</v>
      </c>
      <c r="J93" t="s">
        <v>821</v>
      </c>
      <c r="K93">
        <v>0</v>
      </c>
      <c r="L93" t="s">
        <v>368</v>
      </c>
      <c r="M93" s="9">
        <v>0.27400000000000002</v>
      </c>
      <c r="N93" s="9" t="e">
        <v>#DIV/0!</v>
      </c>
      <c r="O93" t="str">
        <f t="shared" si="2"/>
        <v>Moderate</v>
      </c>
      <c r="AB93"/>
      <c r="AC93"/>
    </row>
    <row r="94" spans="1:29" ht="15">
      <c r="A94">
        <v>43</v>
      </c>
      <c r="B94" t="s">
        <v>316</v>
      </c>
      <c r="C94">
        <v>4</v>
      </c>
      <c r="E94">
        <v>6</v>
      </c>
      <c r="G94">
        <v>25</v>
      </c>
      <c r="I94">
        <v>3</v>
      </c>
      <c r="K94">
        <v>0</v>
      </c>
      <c r="L94" t="s">
        <v>369</v>
      </c>
      <c r="M94" s="9">
        <v>0.70199999999999996</v>
      </c>
      <c r="N94" s="9" t="e">
        <v>#DIV/0!</v>
      </c>
      <c r="O94" t="str">
        <f t="shared" si="2"/>
        <v>High</v>
      </c>
      <c r="AB94"/>
      <c r="AC94"/>
    </row>
    <row r="95" spans="1:29" ht="15">
      <c r="A95">
        <v>43</v>
      </c>
      <c r="B95" t="s">
        <v>316</v>
      </c>
      <c r="C95">
        <v>4</v>
      </c>
      <c r="E95">
        <v>6</v>
      </c>
      <c r="G95">
        <v>25</v>
      </c>
      <c r="I95">
        <v>7</v>
      </c>
      <c r="J95" t="s">
        <v>822</v>
      </c>
      <c r="K95">
        <v>0</v>
      </c>
      <c r="L95" t="s">
        <v>370</v>
      </c>
      <c r="M95" s="9">
        <v>0.22600000000000001</v>
      </c>
      <c r="N95" s="9" t="e">
        <v>#DIV/0!</v>
      </c>
      <c r="O95" t="str">
        <f t="shared" si="2"/>
        <v>Moderate</v>
      </c>
      <c r="AB95"/>
      <c r="AC95"/>
    </row>
    <row r="96" spans="1:29" ht="15">
      <c r="A96">
        <v>43</v>
      </c>
      <c r="B96" t="s">
        <v>316</v>
      </c>
      <c r="C96">
        <v>4</v>
      </c>
      <c r="E96">
        <v>6</v>
      </c>
      <c r="G96">
        <v>25</v>
      </c>
      <c r="I96">
        <v>7</v>
      </c>
      <c r="K96">
        <v>0</v>
      </c>
      <c r="L96" t="s">
        <v>371</v>
      </c>
      <c r="M96" s="9">
        <v>0.434</v>
      </c>
      <c r="N96" s="9" t="e">
        <v>#DIV/0!</v>
      </c>
      <c r="O96" t="str">
        <f t="shared" si="2"/>
        <v>Moderate</v>
      </c>
      <c r="AB96"/>
      <c r="AC96"/>
    </row>
    <row r="97" spans="1:29" ht="15">
      <c r="A97">
        <v>43</v>
      </c>
      <c r="B97" t="s">
        <v>316</v>
      </c>
      <c r="C97">
        <v>4</v>
      </c>
      <c r="E97">
        <v>6</v>
      </c>
      <c r="G97">
        <v>27</v>
      </c>
      <c r="H97" t="s">
        <v>372</v>
      </c>
      <c r="I97">
        <v>1</v>
      </c>
      <c r="J97" t="s">
        <v>823</v>
      </c>
      <c r="K97">
        <v>0</v>
      </c>
      <c r="L97" t="s">
        <v>373</v>
      </c>
      <c r="M97" s="9">
        <v>0.54100000000000004</v>
      </c>
      <c r="N97" s="9" t="e">
        <v>#DIV/0!</v>
      </c>
      <c r="O97" t="str">
        <f t="shared" si="2"/>
        <v>High</v>
      </c>
      <c r="AB97"/>
      <c r="AC97"/>
    </row>
    <row r="98" spans="1:29" ht="15">
      <c r="A98">
        <v>43</v>
      </c>
      <c r="B98" t="s">
        <v>316</v>
      </c>
      <c r="C98">
        <v>4</v>
      </c>
      <c r="E98">
        <v>6</v>
      </c>
      <c r="G98">
        <v>27</v>
      </c>
      <c r="I98">
        <v>1</v>
      </c>
      <c r="K98">
        <v>0</v>
      </c>
      <c r="L98" t="s">
        <v>374</v>
      </c>
      <c r="M98" s="9">
        <v>0.155</v>
      </c>
      <c r="N98" s="9" t="e">
        <v>#DIV/0!</v>
      </c>
      <c r="O98" t="str">
        <f t="shared" ref="O98:O108" si="3">IF(M98&lt;0.18,"Low",IF(M98&lt;0.44,"Moderate",IF(M98&lt;0.77,"High", "Very High")))</f>
        <v>Low</v>
      </c>
      <c r="AB98"/>
      <c r="AC98"/>
    </row>
    <row r="99" spans="1:29" ht="15">
      <c r="A99">
        <v>43</v>
      </c>
      <c r="B99" t="s">
        <v>316</v>
      </c>
      <c r="C99">
        <v>4</v>
      </c>
      <c r="E99">
        <v>6</v>
      </c>
      <c r="G99">
        <v>28</v>
      </c>
      <c r="H99" t="s">
        <v>375</v>
      </c>
      <c r="I99">
        <v>1</v>
      </c>
      <c r="J99" t="s">
        <v>824</v>
      </c>
      <c r="K99">
        <v>0</v>
      </c>
      <c r="L99" t="s">
        <v>376</v>
      </c>
      <c r="M99" s="9">
        <v>6.3333333333333332E-3</v>
      </c>
      <c r="N99" s="9">
        <v>1.096965511460289E-2</v>
      </c>
      <c r="O99" t="str">
        <f t="shared" si="3"/>
        <v>Low</v>
      </c>
      <c r="AB99"/>
      <c r="AC99"/>
    </row>
    <row r="100" spans="1:29" ht="15">
      <c r="A100">
        <v>43</v>
      </c>
      <c r="B100" t="s">
        <v>316</v>
      </c>
      <c r="C100">
        <v>4</v>
      </c>
      <c r="E100">
        <v>6</v>
      </c>
      <c r="G100">
        <v>29</v>
      </c>
      <c r="H100" t="s">
        <v>378</v>
      </c>
      <c r="I100">
        <v>1</v>
      </c>
      <c r="J100" t="s">
        <v>825</v>
      </c>
      <c r="K100">
        <v>0</v>
      </c>
      <c r="L100" t="s">
        <v>379</v>
      </c>
      <c r="M100" s="9">
        <v>0.49399999999999999</v>
      </c>
      <c r="N100" s="9" t="e">
        <v>#DIV/0!</v>
      </c>
      <c r="O100" t="str">
        <f t="shared" si="3"/>
        <v>High</v>
      </c>
      <c r="AB100"/>
      <c r="AC100"/>
    </row>
    <row r="101" spans="1:29" ht="15">
      <c r="A101">
        <v>43</v>
      </c>
      <c r="B101" t="s">
        <v>316</v>
      </c>
      <c r="C101">
        <v>4</v>
      </c>
      <c r="E101">
        <v>6</v>
      </c>
      <c r="G101">
        <v>30</v>
      </c>
      <c r="H101" t="s">
        <v>380</v>
      </c>
      <c r="I101">
        <v>1</v>
      </c>
      <c r="J101" t="s">
        <v>826</v>
      </c>
      <c r="K101">
        <v>0</v>
      </c>
      <c r="L101" t="s">
        <v>381</v>
      </c>
      <c r="M101" s="9">
        <v>8.8999999999999996E-2</v>
      </c>
      <c r="N101" s="9" t="e">
        <v>#DIV/0!</v>
      </c>
      <c r="O101" t="str">
        <f t="shared" si="3"/>
        <v>Low</v>
      </c>
      <c r="AB101"/>
      <c r="AC101"/>
    </row>
    <row r="102" spans="1:29" ht="15">
      <c r="A102">
        <v>43</v>
      </c>
      <c r="B102" t="s">
        <v>316</v>
      </c>
      <c r="C102">
        <v>4</v>
      </c>
      <c r="E102">
        <v>6</v>
      </c>
      <c r="G102">
        <v>30</v>
      </c>
      <c r="I102">
        <v>1</v>
      </c>
      <c r="K102">
        <v>1</v>
      </c>
      <c r="L102" t="s">
        <v>382</v>
      </c>
      <c r="M102" s="9">
        <v>0</v>
      </c>
      <c r="N102" s="9" t="e">
        <v>#DIV/0!</v>
      </c>
      <c r="O102" t="str">
        <f t="shared" si="3"/>
        <v>Low</v>
      </c>
      <c r="AB102"/>
      <c r="AC102"/>
    </row>
    <row r="103" spans="1:29" ht="15">
      <c r="A103">
        <v>43</v>
      </c>
      <c r="B103" t="s">
        <v>316</v>
      </c>
      <c r="C103">
        <v>4</v>
      </c>
      <c r="E103">
        <v>6</v>
      </c>
      <c r="G103">
        <v>30</v>
      </c>
      <c r="I103">
        <v>1</v>
      </c>
      <c r="K103">
        <v>2</v>
      </c>
      <c r="L103" t="s">
        <v>383</v>
      </c>
      <c r="M103" s="9">
        <v>6.6000000000000003E-2</v>
      </c>
      <c r="N103" s="9" t="e">
        <v>#DIV/0!</v>
      </c>
      <c r="O103" t="str">
        <f t="shared" si="3"/>
        <v>Low</v>
      </c>
      <c r="AB103"/>
      <c r="AC103"/>
    </row>
    <row r="104" spans="1:29" ht="15">
      <c r="A104">
        <v>43</v>
      </c>
      <c r="B104" t="s">
        <v>316</v>
      </c>
      <c r="C104">
        <v>4</v>
      </c>
      <c r="E104">
        <v>6</v>
      </c>
      <c r="G104">
        <v>30</v>
      </c>
      <c r="I104">
        <v>1</v>
      </c>
      <c r="K104">
        <v>3</v>
      </c>
      <c r="L104" t="s">
        <v>384</v>
      </c>
      <c r="M104" s="9">
        <v>7.5499999999999998E-2</v>
      </c>
      <c r="N104" s="9">
        <v>0.11847503253147193</v>
      </c>
      <c r="O104" t="str">
        <f t="shared" si="3"/>
        <v>Low</v>
      </c>
      <c r="AB104"/>
      <c r="AC104"/>
    </row>
    <row r="105" spans="1:29" ht="15">
      <c r="A105">
        <v>43</v>
      </c>
      <c r="B105" t="s">
        <v>316</v>
      </c>
      <c r="C105">
        <v>4</v>
      </c>
      <c r="E105">
        <v>6</v>
      </c>
      <c r="G105">
        <v>30</v>
      </c>
      <c r="I105">
        <v>1</v>
      </c>
      <c r="K105">
        <v>4</v>
      </c>
      <c r="L105" t="s">
        <v>387</v>
      </c>
      <c r="M105" s="9">
        <v>0.03</v>
      </c>
      <c r="N105" s="9" t="e">
        <v>#DIV/0!</v>
      </c>
      <c r="O105" t="str">
        <f t="shared" si="3"/>
        <v>Low</v>
      </c>
      <c r="AB105"/>
      <c r="AC105"/>
    </row>
    <row r="106" spans="1:29" ht="15">
      <c r="A106">
        <v>43</v>
      </c>
      <c r="B106" t="s">
        <v>316</v>
      </c>
      <c r="C106">
        <v>4</v>
      </c>
      <c r="E106">
        <v>6</v>
      </c>
      <c r="G106">
        <v>30</v>
      </c>
      <c r="I106">
        <v>2</v>
      </c>
      <c r="J106" t="s">
        <v>827</v>
      </c>
      <c r="K106">
        <v>0</v>
      </c>
      <c r="L106" t="s">
        <v>388</v>
      </c>
      <c r="M106" s="9">
        <v>2.8E-3</v>
      </c>
      <c r="N106" s="9">
        <v>6.2609903369994111E-3</v>
      </c>
      <c r="O106" t="str">
        <f t="shared" si="3"/>
        <v>Low</v>
      </c>
      <c r="AB106"/>
      <c r="AC106"/>
    </row>
    <row r="107" spans="1:29" ht="15">
      <c r="A107">
        <v>43</v>
      </c>
      <c r="B107" t="s">
        <v>316</v>
      </c>
      <c r="C107">
        <v>4</v>
      </c>
      <c r="E107">
        <v>6</v>
      </c>
      <c r="G107">
        <v>30</v>
      </c>
      <c r="I107">
        <v>3</v>
      </c>
      <c r="J107" t="s">
        <v>828</v>
      </c>
      <c r="K107">
        <v>0</v>
      </c>
      <c r="L107" t="s">
        <v>391</v>
      </c>
      <c r="M107" s="9">
        <v>0</v>
      </c>
      <c r="N107" s="9" t="e">
        <v>#DIV/0!</v>
      </c>
      <c r="O107" t="str">
        <f t="shared" si="3"/>
        <v>Low</v>
      </c>
      <c r="AB107"/>
      <c r="AC107"/>
    </row>
    <row r="108" spans="1:29" ht="15">
      <c r="A108">
        <v>43</v>
      </c>
      <c r="B108" t="s">
        <v>316</v>
      </c>
      <c r="C108">
        <v>4</v>
      </c>
      <c r="E108">
        <v>6</v>
      </c>
      <c r="G108">
        <v>30</v>
      </c>
      <c r="I108">
        <v>3</v>
      </c>
      <c r="K108">
        <v>0</v>
      </c>
      <c r="L108" t="s">
        <v>392</v>
      </c>
      <c r="M108" s="9">
        <v>6.3333333333333332E-3</v>
      </c>
      <c r="N108" s="9">
        <v>1.096965511460289E-2</v>
      </c>
      <c r="O108" t="str">
        <f t="shared" si="3"/>
        <v>Low</v>
      </c>
      <c r="AB108"/>
      <c r="AC108"/>
    </row>
    <row r="109" spans="1:29" ht="15">
      <c r="A109">
        <v>43</v>
      </c>
      <c r="B109" t="s">
        <v>316</v>
      </c>
      <c r="C109">
        <v>4</v>
      </c>
      <c r="E109">
        <v>6</v>
      </c>
      <c r="G109">
        <v>30</v>
      </c>
      <c r="I109">
        <v>5</v>
      </c>
      <c r="J109" t="s">
        <v>829</v>
      </c>
      <c r="K109">
        <v>1</v>
      </c>
      <c r="L109" t="s">
        <v>394</v>
      </c>
      <c r="M109" s="9">
        <v>0</v>
      </c>
      <c r="N109" s="9" t="e">
        <v>#DIV/0!</v>
      </c>
      <c r="O109" t="str">
        <f t="shared" ref="O109:O140" si="4">IF(M109&lt;0.17,"Low",IF(M109&lt;0.48,"Moderate",IF(M109&lt;0.77,"High", "Very High")))</f>
        <v>Low</v>
      </c>
      <c r="AB109"/>
      <c r="AC109"/>
    </row>
    <row r="110" spans="1:29" ht="15">
      <c r="A110">
        <v>43</v>
      </c>
      <c r="B110" t="s">
        <v>316</v>
      </c>
      <c r="C110">
        <v>4</v>
      </c>
      <c r="E110">
        <v>6</v>
      </c>
      <c r="G110">
        <v>30</v>
      </c>
      <c r="I110">
        <v>5</v>
      </c>
      <c r="K110">
        <v>2</v>
      </c>
      <c r="L110" t="s">
        <v>395</v>
      </c>
      <c r="M110" s="9">
        <v>0</v>
      </c>
      <c r="N110" s="9">
        <v>0</v>
      </c>
      <c r="O110" t="str">
        <f t="shared" si="4"/>
        <v>Low</v>
      </c>
      <c r="AB110"/>
      <c r="AC110"/>
    </row>
    <row r="111" spans="1:29" ht="15">
      <c r="A111">
        <v>43</v>
      </c>
      <c r="B111" t="s">
        <v>316</v>
      </c>
      <c r="C111">
        <v>4</v>
      </c>
      <c r="E111">
        <v>6</v>
      </c>
      <c r="G111">
        <v>30</v>
      </c>
      <c r="I111">
        <v>5</v>
      </c>
      <c r="K111">
        <v>3</v>
      </c>
      <c r="L111" t="s">
        <v>396</v>
      </c>
      <c r="M111" s="9">
        <v>2.1199999999999997E-2</v>
      </c>
      <c r="N111" s="9">
        <v>6.5546275910339E-2</v>
      </c>
      <c r="O111" t="str">
        <f t="shared" si="4"/>
        <v>Low</v>
      </c>
      <c r="AB111"/>
      <c r="AC111"/>
    </row>
    <row r="112" spans="1:29" ht="15">
      <c r="A112">
        <v>43</v>
      </c>
      <c r="B112" t="s">
        <v>316</v>
      </c>
      <c r="C112">
        <v>4</v>
      </c>
      <c r="E112">
        <v>6</v>
      </c>
      <c r="G112">
        <v>31</v>
      </c>
      <c r="H112" t="s">
        <v>408</v>
      </c>
      <c r="I112">
        <v>1</v>
      </c>
      <c r="J112" t="s">
        <v>830</v>
      </c>
      <c r="K112">
        <v>0</v>
      </c>
      <c r="L112" t="s">
        <v>409</v>
      </c>
      <c r="M112" s="9">
        <v>0.30599999999999999</v>
      </c>
      <c r="N112" s="9" t="e">
        <v>#DIV/0!</v>
      </c>
      <c r="O112" t="str">
        <f t="shared" si="4"/>
        <v>Moderate</v>
      </c>
      <c r="AB112"/>
      <c r="AC112"/>
    </row>
    <row r="113" spans="1:29" ht="15">
      <c r="A113">
        <v>43</v>
      </c>
      <c r="B113" t="s">
        <v>316</v>
      </c>
      <c r="C113">
        <v>4</v>
      </c>
      <c r="E113">
        <v>6</v>
      </c>
      <c r="G113">
        <v>31</v>
      </c>
      <c r="I113">
        <v>1</v>
      </c>
      <c r="K113">
        <v>0</v>
      </c>
      <c r="L113" t="s">
        <v>410</v>
      </c>
      <c r="M113" s="9">
        <v>0.33900000000000002</v>
      </c>
      <c r="N113" s="9" t="e">
        <v>#DIV/0!</v>
      </c>
      <c r="O113" t="str">
        <f t="shared" si="4"/>
        <v>Moderate</v>
      </c>
      <c r="AB113"/>
      <c r="AC113"/>
    </row>
    <row r="114" spans="1:29" ht="15">
      <c r="A114">
        <v>43</v>
      </c>
      <c r="B114" t="s">
        <v>316</v>
      </c>
      <c r="C114">
        <v>4</v>
      </c>
      <c r="E114">
        <v>6</v>
      </c>
      <c r="G114">
        <v>31</v>
      </c>
      <c r="I114">
        <v>2</v>
      </c>
      <c r="J114" t="s">
        <v>831</v>
      </c>
      <c r="K114">
        <v>1</v>
      </c>
      <c r="L114" t="s">
        <v>411</v>
      </c>
      <c r="M114" s="9">
        <v>0.27050000000000002</v>
      </c>
      <c r="N114" s="9">
        <v>0.17182694782833108</v>
      </c>
      <c r="O114" t="str">
        <f t="shared" si="4"/>
        <v>Moderate</v>
      </c>
      <c r="AB114"/>
      <c r="AC114"/>
    </row>
    <row r="115" spans="1:29" ht="15">
      <c r="A115">
        <v>43</v>
      </c>
      <c r="B115" t="s">
        <v>316</v>
      </c>
      <c r="C115">
        <v>4</v>
      </c>
      <c r="E115">
        <v>6</v>
      </c>
      <c r="G115">
        <v>31</v>
      </c>
      <c r="I115">
        <v>2</v>
      </c>
      <c r="K115">
        <v>2</v>
      </c>
      <c r="L115" t="s">
        <v>412</v>
      </c>
      <c r="M115" s="9">
        <v>0.38900000000000001</v>
      </c>
      <c r="N115" s="9">
        <v>8.6267027304758506E-2</v>
      </c>
      <c r="O115" t="str">
        <f t="shared" si="4"/>
        <v>Moderate</v>
      </c>
      <c r="AB115"/>
      <c r="AC115"/>
    </row>
    <row r="116" spans="1:29" ht="15">
      <c r="A116">
        <v>43</v>
      </c>
      <c r="B116" t="s">
        <v>316</v>
      </c>
      <c r="C116">
        <v>4</v>
      </c>
      <c r="E116">
        <v>6</v>
      </c>
      <c r="G116">
        <v>31</v>
      </c>
      <c r="I116">
        <v>2</v>
      </c>
      <c r="K116">
        <v>3</v>
      </c>
      <c r="L116" t="s">
        <v>413</v>
      </c>
      <c r="M116" s="9">
        <v>0.54949999999999999</v>
      </c>
      <c r="N116" s="9">
        <v>9.8287842584930465E-2</v>
      </c>
      <c r="O116" t="str">
        <f t="shared" si="4"/>
        <v>High</v>
      </c>
      <c r="AB116"/>
      <c r="AC116"/>
    </row>
    <row r="117" spans="1:29" ht="15">
      <c r="A117">
        <v>43</v>
      </c>
      <c r="B117" t="s">
        <v>316</v>
      </c>
      <c r="C117">
        <v>4</v>
      </c>
      <c r="E117">
        <v>6</v>
      </c>
      <c r="G117">
        <v>31</v>
      </c>
      <c r="I117">
        <v>3</v>
      </c>
      <c r="J117" t="s">
        <v>832</v>
      </c>
      <c r="K117">
        <v>0</v>
      </c>
      <c r="L117" t="s">
        <v>414</v>
      </c>
      <c r="M117" s="9">
        <v>0.28999999999999998</v>
      </c>
      <c r="N117" s="9">
        <v>0.11879393923934004</v>
      </c>
      <c r="O117" t="str">
        <f t="shared" si="4"/>
        <v>Moderate</v>
      </c>
      <c r="AB117"/>
      <c r="AC117"/>
    </row>
    <row r="118" spans="1:29" ht="15">
      <c r="A118">
        <v>43</v>
      </c>
      <c r="B118" t="s">
        <v>316</v>
      </c>
      <c r="C118">
        <v>4</v>
      </c>
      <c r="E118">
        <v>6</v>
      </c>
      <c r="G118">
        <v>31</v>
      </c>
      <c r="I118">
        <v>4</v>
      </c>
      <c r="J118" t="s">
        <v>833</v>
      </c>
      <c r="K118">
        <v>0</v>
      </c>
      <c r="L118" t="s">
        <v>415</v>
      </c>
      <c r="M118" s="9">
        <v>0.45600000000000002</v>
      </c>
      <c r="N118" s="9" t="e">
        <v>#DIV/0!</v>
      </c>
      <c r="O118" t="str">
        <f t="shared" si="4"/>
        <v>Moderate</v>
      </c>
      <c r="AB118"/>
      <c r="AC118"/>
    </row>
    <row r="119" spans="1:29" ht="15">
      <c r="A119">
        <v>43</v>
      </c>
      <c r="B119" t="s">
        <v>316</v>
      </c>
      <c r="C119">
        <v>4</v>
      </c>
      <c r="E119">
        <v>6</v>
      </c>
      <c r="G119">
        <v>31</v>
      </c>
      <c r="I119">
        <v>4</v>
      </c>
      <c r="K119">
        <v>0</v>
      </c>
      <c r="L119" t="s">
        <v>416</v>
      </c>
      <c r="M119" s="9">
        <v>0.6</v>
      </c>
      <c r="N119" s="9" t="e">
        <v>#DIV/0!</v>
      </c>
      <c r="O119" t="str">
        <f t="shared" si="4"/>
        <v>High</v>
      </c>
      <c r="AB119"/>
      <c r="AC119"/>
    </row>
    <row r="120" spans="1:29" ht="15">
      <c r="A120">
        <v>43</v>
      </c>
      <c r="B120" t="s">
        <v>316</v>
      </c>
      <c r="C120">
        <v>4</v>
      </c>
      <c r="E120">
        <v>6</v>
      </c>
      <c r="G120">
        <v>31</v>
      </c>
      <c r="I120">
        <v>5</v>
      </c>
      <c r="J120" t="s">
        <v>834</v>
      </c>
      <c r="K120">
        <v>0</v>
      </c>
      <c r="L120" t="s">
        <v>417</v>
      </c>
      <c r="M120" s="9">
        <v>0.33199999999999996</v>
      </c>
      <c r="N120" s="9">
        <v>0.13435028842544416</v>
      </c>
      <c r="O120" t="str">
        <f t="shared" si="4"/>
        <v>Moderate</v>
      </c>
      <c r="AB120"/>
      <c r="AC120"/>
    </row>
    <row r="121" spans="1:29" ht="15">
      <c r="A121">
        <v>43</v>
      </c>
      <c r="B121" t="s">
        <v>316</v>
      </c>
      <c r="C121">
        <v>4</v>
      </c>
      <c r="E121">
        <v>6</v>
      </c>
      <c r="G121">
        <v>32</v>
      </c>
      <c r="H121" t="s">
        <v>418</v>
      </c>
      <c r="I121">
        <v>5</v>
      </c>
      <c r="J121" t="s">
        <v>835</v>
      </c>
      <c r="K121">
        <v>0</v>
      </c>
      <c r="L121" t="s">
        <v>419</v>
      </c>
      <c r="M121" s="9">
        <v>0</v>
      </c>
      <c r="N121" s="9" t="e">
        <v>#DIV/0!</v>
      </c>
      <c r="O121" t="str">
        <f t="shared" si="4"/>
        <v>Low</v>
      </c>
      <c r="AB121"/>
      <c r="AC121"/>
    </row>
    <row r="122" spans="1:29" ht="15">
      <c r="A122">
        <v>43</v>
      </c>
      <c r="B122" t="s">
        <v>316</v>
      </c>
      <c r="C122">
        <v>4</v>
      </c>
      <c r="E122">
        <v>6</v>
      </c>
      <c r="G122">
        <v>32</v>
      </c>
      <c r="I122">
        <v>5</v>
      </c>
      <c r="K122">
        <v>0</v>
      </c>
      <c r="L122" t="s">
        <v>420</v>
      </c>
      <c r="M122" s="9">
        <v>4.3999999999999997E-2</v>
      </c>
      <c r="N122" s="9" t="e">
        <v>#DIV/0!</v>
      </c>
      <c r="O122" t="str">
        <f t="shared" si="4"/>
        <v>Low</v>
      </c>
      <c r="AB122"/>
      <c r="AC122"/>
    </row>
    <row r="123" spans="1:29" ht="15">
      <c r="A123">
        <v>43</v>
      </c>
      <c r="B123" t="s">
        <v>316</v>
      </c>
      <c r="C123">
        <v>4</v>
      </c>
      <c r="E123">
        <v>6</v>
      </c>
      <c r="G123">
        <v>32</v>
      </c>
      <c r="I123">
        <v>6</v>
      </c>
      <c r="J123" t="s">
        <v>836</v>
      </c>
      <c r="K123">
        <v>0</v>
      </c>
      <c r="L123" t="s">
        <v>421</v>
      </c>
      <c r="M123" s="9">
        <v>0</v>
      </c>
      <c r="N123" s="9">
        <v>0</v>
      </c>
      <c r="O123" t="str">
        <f t="shared" si="4"/>
        <v>Low</v>
      </c>
      <c r="AB123"/>
      <c r="AC123"/>
    </row>
    <row r="124" spans="1:29" ht="15">
      <c r="A124">
        <v>43</v>
      </c>
      <c r="B124" t="s">
        <v>316</v>
      </c>
      <c r="C124">
        <v>4</v>
      </c>
      <c r="E124">
        <v>6</v>
      </c>
      <c r="G124">
        <v>34</v>
      </c>
      <c r="H124" t="s">
        <v>422</v>
      </c>
      <c r="I124">
        <v>1</v>
      </c>
      <c r="J124" t="s">
        <v>837</v>
      </c>
      <c r="K124">
        <v>0</v>
      </c>
      <c r="L124" t="s">
        <v>423</v>
      </c>
      <c r="M124" s="9">
        <v>0.104</v>
      </c>
      <c r="N124" s="9" t="e">
        <v>#DIV/0!</v>
      </c>
      <c r="O124" t="str">
        <f t="shared" si="4"/>
        <v>Low</v>
      </c>
      <c r="AB124"/>
      <c r="AC124"/>
    </row>
    <row r="125" spans="1:29" ht="15">
      <c r="A125">
        <v>43</v>
      </c>
      <c r="B125" t="s">
        <v>316</v>
      </c>
      <c r="C125">
        <v>4</v>
      </c>
      <c r="E125">
        <v>6</v>
      </c>
      <c r="G125">
        <v>34</v>
      </c>
      <c r="I125">
        <v>1</v>
      </c>
      <c r="K125">
        <v>0</v>
      </c>
      <c r="L125" t="s">
        <v>424</v>
      </c>
      <c r="M125" s="9">
        <v>0.26200000000000001</v>
      </c>
      <c r="N125" s="9" t="e">
        <v>#DIV/0!</v>
      </c>
      <c r="O125" t="str">
        <f t="shared" si="4"/>
        <v>Moderate</v>
      </c>
      <c r="AB125"/>
      <c r="AC125"/>
    </row>
    <row r="126" spans="1:29" ht="15">
      <c r="A126">
        <v>43</v>
      </c>
      <c r="B126" t="s">
        <v>316</v>
      </c>
      <c r="C126">
        <v>4</v>
      </c>
      <c r="E126">
        <v>6</v>
      </c>
      <c r="G126">
        <v>34</v>
      </c>
      <c r="I126">
        <v>3</v>
      </c>
      <c r="J126" t="s">
        <v>838</v>
      </c>
      <c r="K126">
        <v>0</v>
      </c>
      <c r="L126" t="s">
        <v>425</v>
      </c>
      <c r="M126" s="9">
        <v>0.61599999999999999</v>
      </c>
      <c r="N126" s="9">
        <v>0.25314422766478395</v>
      </c>
      <c r="O126" t="str">
        <f t="shared" si="4"/>
        <v>High</v>
      </c>
      <c r="AB126"/>
      <c r="AC126"/>
    </row>
    <row r="127" spans="1:29" ht="15">
      <c r="A127">
        <v>43</v>
      </c>
      <c r="B127" t="s">
        <v>316</v>
      </c>
      <c r="C127">
        <v>4</v>
      </c>
      <c r="E127">
        <v>6</v>
      </c>
      <c r="G127">
        <v>35</v>
      </c>
      <c r="H127" t="s">
        <v>426</v>
      </c>
      <c r="I127">
        <v>1</v>
      </c>
      <c r="J127" t="s">
        <v>839</v>
      </c>
      <c r="K127">
        <v>0</v>
      </c>
      <c r="L127" t="s">
        <v>427</v>
      </c>
      <c r="M127" s="9">
        <v>0.28799999999999998</v>
      </c>
      <c r="N127" s="9" t="e">
        <v>#DIV/0!</v>
      </c>
      <c r="O127" t="str">
        <f t="shared" si="4"/>
        <v>Moderate</v>
      </c>
      <c r="AB127"/>
      <c r="AC127"/>
    </row>
    <row r="128" spans="1:29" ht="15">
      <c r="A128">
        <v>43</v>
      </c>
      <c r="B128" t="s">
        <v>316</v>
      </c>
      <c r="C128">
        <v>4</v>
      </c>
      <c r="E128">
        <v>6</v>
      </c>
      <c r="G128">
        <v>35</v>
      </c>
      <c r="I128">
        <v>2</v>
      </c>
      <c r="J128" t="s">
        <v>840</v>
      </c>
      <c r="K128">
        <v>0</v>
      </c>
      <c r="L128" t="s">
        <v>428</v>
      </c>
      <c r="M128" s="9">
        <v>0.36899999999999999</v>
      </c>
      <c r="N128" s="9" t="e">
        <v>#DIV/0!</v>
      </c>
      <c r="O128" t="str">
        <f t="shared" si="4"/>
        <v>Moderate</v>
      </c>
      <c r="AB128"/>
      <c r="AC128"/>
    </row>
    <row r="129" spans="1:29" ht="15">
      <c r="A129">
        <v>43</v>
      </c>
      <c r="B129" t="s">
        <v>316</v>
      </c>
      <c r="C129">
        <v>4</v>
      </c>
      <c r="E129">
        <v>6</v>
      </c>
      <c r="G129">
        <v>36</v>
      </c>
      <c r="H129" t="s">
        <v>429</v>
      </c>
      <c r="I129">
        <v>1</v>
      </c>
      <c r="J129" t="s">
        <v>841</v>
      </c>
      <c r="K129">
        <v>0</v>
      </c>
      <c r="L129" t="s">
        <v>430</v>
      </c>
      <c r="M129" s="9">
        <v>0.62</v>
      </c>
      <c r="N129" s="9" t="e">
        <v>#DIV/0!</v>
      </c>
      <c r="O129" t="str">
        <f t="shared" si="4"/>
        <v>High</v>
      </c>
      <c r="AB129"/>
      <c r="AC129"/>
    </row>
    <row r="130" spans="1:29" ht="15">
      <c r="A130">
        <v>43</v>
      </c>
      <c r="B130" t="s">
        <v>316</v>
      </c>
      <c r="C130">
        <v>4</v>
      </c>
      <c r="E130">
        <v>6</v>
      </c>
      <c r="G130">
        <v>38</v>
      </c>
      <c r="H130" t="s">
        <v>431</v>
      </c>
      <c r="I130">
        <v>6</v>
      </c>
      <c r="J130" t="s">
        <v>842</v>
      </c>
      <c r="K130">
        <v>0</v>
      </c>
      <c r="L130" t="s">
        <v>432</v>
      </c>
      <c r="M130" s="9">
        <v>0.42799999999999999</v>
      </c>
      <c r="N130" s="9" t="e">
        <v>#DIV/0!</v>
      </c>
      <c r="O130" t="str">
        <f t="shared" si="4"/>
        <v>Moderate</v>
      </c>
      <c r="AB130"/>
      <c r="AC130"/>
    </row>
    <row r="131" spans="1:29" ht="15">
      <c r="A131">
        <v>43</v>
      </c>
      <c r="B131" t="s">
        <v>316</v>
      </c>
      <c r="C131">
        <v>4</v>
      </c>
      <c r="E131">
        <v>6</v>
      </c>
      <c r="G131">
        <v>38</v>
      </c>
      <c r="I131">
        <v>6</v>
      </c>
      <c r="K131">
        <v>0</v>
      </c>
      <c r="L131" t="s">
        <v>433</v>
      </c>
      <c r="M131" s="9">
        <v>0.52</v>
      </c>
      <c r="N131" s="9" t="e">
        <v>#DIV/0!</v>
      </c>
      <c r="O131" t="str">
        <f t="shared" si="4"/>
        <v>High</v>
      </c>
      <c r="AB131"/>
      <c r="AC131"/>
    </row>
    <row r="132" spans="1:29" ht="15">
      <c r="A132">
        <v>43</v>
      </c>
      <c r="B132" t="s">
        <v>316</v>
      </c>
      <c r="C132">
        <v>4</v>
      </c>
      <c r="E132">
        <v>6</v>
      </c>
      <c r="G132">
        <v>43</v>
      </c>
      <c r="H132" t="s">
        <v>434</v>
      </c>
      <c r="I132">
        <v>2</v>
      </c>
      <c r="J132" t="s">
        <v>843</v>
      </c>
      <c r="K132">
        <v>0</v>
      </c>
      <c r="L132" t="s">
        <v>435</v>
      </c>
      <c r="M132" s="9">
        <v>0.752</v>
      </c>
      <c r="N132" s="9" t="e">
        <v>#DIV/0!</v>
      </c>
      <c r="O132" t="str">
        <f t="shared" si="4"/>
        <v>High</v>
      </c>
      <c r="AB132"/>
      <c r="AC132"/>
    </row>
    <row r="133" spans="1:29" ht="15">
      <c r="A133">
        <v>43</v>
      </c>
      <c r="B133" t="s">
        <v>316</v>
      </c>
      <c r="C133">
        <v>4</v>
      </c>
      <c r="E133">
        <v>6</v>
      </c>
      <c r="G133">
        <v>43</v>
      </c>
      <c r="I133">
        <v>2</v>
      </c>
      <c r="K133">
        <v>0</v>
      </c>
      <c r="L133" t="s">
        <v>436</v>
      </c>
      <c r="M133" s="9">
        <v>0.28000000000000003</v>
      </c>
      <c r="N133" s="9" t="e">
        <v>#DIV/0!</v>
      </c>
      <c r="O133" t="str">
        <f t="shared" si="4"/>
        <v>Moderate</v>
      </c>
      <c r="AB133"/>
      <c r="AC133"/>
    </row>
    <row r="134" spans="1:29" ht="15">
      <c r="A134">
        <v>43</v>
      </c>
      <c r="B134" t="s">
        <v>316</v>
      </c>
      <c r="C134">
        <v>4</v>
      </c>
      <c r="E134">
        <v>6</v>
      </c>
      <c r="G134">
        <v>43</v>
      </c>
      <c r="I134">
        <v>12</v>
      </c>
      <c r="J134" t="s">
        <v>844</v>
      </c>
      <c r="K134">
        <v>0</v>
      </c>
      <c r="L134" t="s">
        <v>437</v>
      </c>
      <c r="M134" s="9">
        <v>0.56200000000000006</v>
      </c>
      <c r="N134" s="9" t="e">
        <v>#DIV/0!</v>
      </c>
      <c r="O134" t="str">
        <f t="shared" si="4"/>
        <v>High</v>
      </c>
      <c r="AB134"/>
      <c r="AC134"/>
    </row>
    <row r="135" spans="1:29" ht="15">
      <c r="A135">
        <v>43</v>
      </c>
      <c r="B135" t="s">
        <v>316</v>
      </c>
      <c r="C135">
        <v>4</v>
      </c>
      <c r="E135">
        <v>6</v>
      </c>
      <c r="G135">
        <v>44</v>
      </c>
      <c r="H135" t="s">
        <v>438</v>
      </c>
      <c r="I135">
        <v>43</v>
      </c>
      <c r="J135" t="s">
        <v>845</v>
      </c>
      <c r="K135">
        <v>0</v>
      </c>
      <c r="L135" t="s">
        <v>439</v>
      </c>
      <c r="M135" s="9">
        <v>0.23</v>
      </c>
      <c r="N135" s="9" t="e">
        <v>#DIV/0!</v>
      </c>
      <c r="O135" t="str">
        <f t="shared" si="4"/>
        <v>Moderate</v>
      </c>
      <c r="AB135"/>
      <c r="AC135"/>
    </row>
    <row r="136" spans="1:29" ht="15">
      <c r="A136">
        <v>43</v>
      </c>
      <c r="B136" t="s">
        <v>316</v>
      </c>
      <c r="C136">
        <v>4</v>
      </c>
      <c r="E136">
        <v>6</v>
      </c>
      <c r="G136">
        <v>44</v>
      </c>
      <c r="I136">
        <v>46</v>
      </c>
      <c r="J136" t="s">
        <v>846</v>
      </c>
      <c r="K136">
        <v>0</v>
      </c>
      <c r="L136" t="s">
        <v>442</v>
      </c>
      <c r="M136" s="9">
        <v>0.41409768252565343</v>
      </c>
      <c r="N136" s="9">
        <v>0.16150904119523782</v>
      </c>
      <c r="O136" t="str">
        <f t="shared" si="4"/>
        <v>Moderate</v>
      </c>
      <c r="AB136"/>
      <c r="AC136"/>
    </row>
    <row r="137" spans="1:29" ht="15">
      <c r="A137">
        <v>43</v>
      </c>
      <c r="B137" t="s">
        <v>316</v>
      </c>
      <c r="C137">
        <v>4</v>
      </c>
      <c r="E137">
        <v>6</v>
      </c>
      <c r="G137">
        <v>44</v>
      </c>
      <c r="I137">
        <v>61</v>
      </c>
      <c r="J137" t="s">
        <v>847</v>
      </c>
      <c r="K137">
        <v>1</v>
      </c>
      <c r="L137" t="s">
        <v>472</v>
      </c>
      <c r="M137" s="9">
        <v>0.56125000000000003</v>
      </c>
      <c r="N137" s="9">
        <v>9.5237860118757109E-2</v>
      </c>
      <c r="O137" t="str">
        <f t="shared" si="4"/>
        <v>High</v>
      </c>
      <c r="AB137"/>
      <c r="AC137"/>
    </row>
    <row r="138" spans="1:29" ht="15">
      <c r="A138">
        <v>43</v>
      </c>
      <c r="B138" t="s">
        <v>316</v>
      </c>
      <c r="C138">
        <v>4</v>
      </c>
      <c r="E138">
        <v>6</v>
      </c>
      <c r="G138">
        <v>44</v>
      </c>
      <c r="I138">
        <v>61</v>
      </c>
      <c r="K138">
        <v>2</v>
      </c>
      <c r="L138" t="s">
        <v>475</v>
      </c>
      <c r="M138" s="9">
        <v>0.5</v>
      </c>
      <c r="N138" s="9" t="e">
        <v>#DIV/0!</v>
      </c>
      <c r="O138" t="str">
        <f t="shared" si="4"/>
        <v>High</v>
      </c>
      <c r="AB138"/>
      <c r="AC138"/>
    </row>
    <row r="139" spans="1:29" ht="15">
      <c r="A139">
        <v>43</v>
      </c>
      <c r="B139" t="s">
        <v>316</v>
      </c>
      <c r="C139">
        <v>4</v>
      </c>
      <c r="E139">
        <v>6</v>
      </c>
      <c r="G139">
        <v>44</v>
      </c>
      <c r="I139">
        <v>61</v>
      </c>
      <c r="K139">
        <v>3</v>
      </c>
      <c r="L139" t="s">
        <v>476</v>
      </c>
      <c r="M139" s="9">
        <v>0.54749999999999999</v>
      </c>
      <c r="N139" s="9">
        <v>0.34294678887547575</v>
      </c>
      <c r="O139" t="str">
        <f t="shared" si="4"/>
        <v>High</v>
      </c>
      <c r="AB139"/>
      <c r="AC139"/>
    </row>
    <row r="140" spans="1:29" ht="15">
      <c r="A140">
        <v>43</v>
      </c>
      <c r="B140" t="s">
        <v>316</v>
      </c>
      <c r="C140">
        <v>4</v>
      </c>
      <c r="E140">
        <v>6</v>
      </c>
      <c r="G140">
        <v>44</v>
      </c>
      <c r="I140">
        <v>61</v>
      </c>
      <c r="K140">
        <v>4</v>
      </c>
      <c r="L140" t="s">
        <v>477</v>
      </c>
      <c r="M140" s="9">
        <v>0.63700000000000001</v>
      </c>
      <c r="N140" s="9" t="e">
        <v>#DIV/0!</v>
      </c>
      <c r="O140" t="str">
        <f t="shared" si="4"/>
        <v>High</v>
      </c>
      <c r="AB140"/>
      <c r="AC140"/>
    </row>
    <row r="141" spans="1:29" ht="15">
      <c r="A141">
        <v>43</v>
      </c>
      <c r="B141" t="s">
        <v>316</v>
      </c>
      <c r="C141">
        <v>4</v>
      </c>
      <c r="E141">
        <v>6</v>
      </c>
      <c r="G141">
        <v>44</v>
      </c>
      <c r="I141">
        <v>62</v>
      </c>
      <c r="J141" t="s">
        <v>848</v>
      </c>
      <c r="K141">
        <v>1</v>
      </c>
      <c r="L141" t="s">
        <v>479</v>
      </c>
      <c r="M141" s="9">
        <v>0.82</v>
      </c>
      <c r="N141" s="9" t="e">
        <v>#DIV/0!</v>
      </c>
      <c r="O141" t="str">
        <f t="shared" ref="O141:O161" si="5">IF(M141&lt;0.17,"Low",IF(M141&lt;0.48,"Moderate",IF(M141&lt;0.77,"High", "Very High")))</f>
        <v>Very High</v>
      </c>
      <c r="AB141"/>
      <c r="AC141"/>
    </row>
    <row r="142" spans="1:29" ht="15">
      <c r="A142">
        <v>43</v>
      </c>
      <c r="B142" t="s">
        <v>316</v>
      </c>
      <c r="C142">
        <v>4</v>
      </c>
      <c r="E142">
        <v>6</v>
      </c>
      <c r="G142">
        <v>44</v>
      </c>
      <c r="I142">
        <v>62</v>
      </c>
      <c r="K142">
        <v>2</v>
      </c>
      <c r="L142" t="s">
        <v>483</v>
      </c>
      <c r="M142" s="9">
        <v>0.62</v>
      </c>
      <c r="N142" s="9" t="e">
        <v>#DIV/0!</v>
      </c>
      <c r="O142" t="str">
        <f t="shared" si="5"/>
        <v>High</v>
      </c>
      <c r="AB142"/>
      <c r="AC142"/>
    </row>
    <row r="143" spans="1:29" ht="15">
      <c r="A143">
        <v>43</v>
      </c>
      <c r="B143" t="s">
        <v>316</v>
      </c>
      <c r="C143">
        <v>4</v>
      </c>
      <c r="E143">
        <v>6</v>
      </c>
      <c r="G143">
        <v>44</v>
      </c>
      <c r="I143">
        <v>62</v>
      </c>
      <c r="K143">
        <v>3</v>
      </c>
      <c r="L143" t="s">
        <v>485</v>
      </c>
      <c r="M143" s="9">
        <v>0.5</v>
      </c>
      <c r="N143" s="9" t="e">
        <v>#DIV/0!</v>
      </c>
      <c r="O143" t="str">
        <f t="shared" si="5"/>
        <v>High</v>
      </c>
      <c r="AB143"/>
      <c r="AC143"/>
    </row>
    <row r="144" spans="1:29" ht="15">
      <c r="A144">
        <v>43</v>
      </c>
      <c r="B144" t="s">
        <v>316</v>
      </c>
      <c r="C144">
        <v>4</v>
      </c>
      <c r="E144">
        <v>6</v>
      </c>
      <c r="G144">
        <v>44</v>
      </c>
      <c r="I144">
        <v>62</v>
      </c>
      <c r="K144">
        <v>4</v>
      </c>
      <c r="L144" t="s">
        <v>487</v>
      </c>
      <c r="M144" s="9">
        <v>0.74</v>
      </c>
      <c r="N144" s="9" t="e">
        <v>#DIV/0!</v>
      </c>
      <c r="O144" t="str">
        <f t="shared" si="5"/>
        <v>High</v>
      </c>
      <c r="AB144"/>
      <c r="AC144"/>
    </row>
    <row r="145" spans="1:29" ht="15">
      <c r="A145">
        <v>43</v>
      </c>
      <c r="B145" t="s">
        <v>316</v>
      </c>
      <c r="C145">
        <v>4</v>
      </c>
      <c r="E145">
        <v>6</v>
      </c>
      <c r="G145">
        <v>44</v>
      </c>
      <c r="I145">
        <v>62</v>
      </c>
      <c r="K145">
        <v>5</v>
      </c>
      <c r="L145" t="s">
        <v>489</v>
      </c>
      <c r="M145" s="9">
        <v>0.63</v>
      </c>
      <c r="N145" s="9" t="e">
        <v>#DIV/0!</v>
      </c>
      <c r="O145" t="str">
        <f t="shared" si="5"/>
        <v>High</v>
      </c>
      <c r="AB145"/>
      <c r="AC145"/>
    </row>
    <row r="146" spans="1:29" ht="15">
      <c r="A146">
        <v>43</v>
      </c>
      <c r="B146" t="s">
        <v>316</v>
      </c>
      <c r="C146">
        <v>4</v>
      </c>
      <c r="E146">
        <v>6</v>
      </c>
      <c r="G146">
        <v>44</v>
      </c>
      <c r="I146">
        <v>62</v>
      </c>
      <c r="K146">
        <v>6</v>
      </c>
      <c r="L146" t="s">
        <v>491</v>
      </c>
      <c r="M146" s="9">
        <v>0.88</v>
      </c>
      <c r="N146" s="9" t="e">
        <v>#DIV/0!</v>
      </c>
      <c r="O146" t="str">
        <f t="shared" si="5"/>
        <v>Very High</v>
      </c>
      <c r="AB146"/>
      <c r="AC146"/>
    </row>
    <row r="147" spans="1:29" ht="15">
      <c r="A147">
        <v>43</v>
      </c>
      <c r="B147" t="s">
        <v>316</v>
      </c>
      <c r="C147">
        <v>4</v>
      </c>
      <c r="E147">
        <v>6</v>
      </c>
      <c r="G147">
        <v>44</v>
      </c>
      <c r="I147">
        <v>62</v>
      </c>
      <c r="K147">
        <v>7</v>
      </c>
      <c r="L147" t="s">
        <v>493</v>
      </c>
      <c r="M147" s="9">
        <v>0.92</v>
      </c>
      <c r="N147" s="9" t="e">
        <v>#DIV/0!</v>
      </c>
      <c r="O147" t="str">
        <f t="shared" si="5"/>
        <v>Very High</v>
      </c>
      <c r="AB147"/>
      <c r="AC147"/>
    </row>
    <row r="148" spans="1:29" ht="15">
      <c r="A148">
        <v>43</v>
      </c>
      <c r="B148" t="s">
        <v>316</v>
      </c>
      <c r="C148">
        <v>4</v>
      </c>
      <c r="E148">
        <v>6</v>
      </c>
      <c r="G148">
        <v>44</v>
      </c>
      <c r="I148">
        <v>62</v>
      </c>
      <c r="K148">
        <v>8</v>
      </c>
      <c r="L148" t="s">
        <v>495</v>
      </c>
      <c r="M148" s="9">
        <v>0.39</v>
      </c>
      <c r="N148" s="9" t="e">
        <v>#DIV/0!</v>
      </c>
      <c r="O148" t="str">
        <f t="shared" si="5"/>
        <v>Moderate</v>
      </c>
      <c r="AB148"/>
      <c r="AC148"/>
    </row>
    <row r="149" spans="1:29" ht="15">
      <c r="A149">
        <v>43</v>
      </c>
      <c r="B149" t="s">
        <v>316</v>
      </c>
      <c r="C149">
        <v>4</v>
      </c>
      <c r="E149">
        <v>6</v>
      </c>
      <c r="G149">
        <v>44</v>
      </c>
      <c r="I149">
        <v>62</v>
      </c>
      <c r="K149">
        <v>9</v>
      </c>
      <c r="L149" t="s">
        <v>497</v>
      </c>
      <c r="M149" s="9">
        <v>0.59316666666666662</v>
      </c>
      <c r="N149" s="9">
        <v>0.13472997686731328</v>
      </c>
      <c r="O149" t="str">
        <f t="shared" si="5"/>
        <v>High</v>
      </c>
      <c r="AB149"/>
      <c r="AC149"/>
    </row>
    <row r="150" spans="1:29" ht="15">
      <c r="A150">
        <v>43</v>
      </c>
      <c r="B150" t="s">
        <v>316</v>
      </c>
      <c r="C150">
        <v>4</v>
      </c>
      <c r="E150">
        <v>6</v>
      </c>
      <c r="G150">
        <v>44</v>
      </c>
      <c r="I150">
        <v>62</v>
      </c>
      <c r="K150">
        <v>10</v>
      </c>
      <c r="L150" t="s">
        <v>503</v>
      </c>
      <c r="M150" s="9">
        <v>0.85654735919792913</v>
      </c>
      <c r="N150" s="9">
        <v>8.9987016820693003E-2</v>
      </c>
      <c r="O150" t="str">
        <f t="shared" si="5"/>
        <v>Very High</v>
      </c>
      <c r="AB150"/>
      <c r="AC150"/>
    </row>
    <row r="151" spans="1:29" ht="15">
      <c r="A151">
        <v>43</v>
      </c>
      <c r="B151" t="s">
        <v>316</v>
      </c>
      <c r="C151">
        <v>4</v>
      </c>
      <c r="E151">
        <v>6</v>
      </c>
      <c r="G151">
        <v>44</v>
      </c>
      <c r="I151">
        <v>62</v>
      </c>
      <c r="K151">
        <v>11</v>
      </c>
      <c r="L151" t="s">
        <v>529</v>
      </c>
      <c r="M151" s="9">
        <v>0.70399999999999996</v>
      </c>
      <c r="N151" s="9">
        <v>0.14065560778013803</v>
      </c>
      <c r="O151" t="str">
        <f t="shared" si="5"/>
        <v>High</v>
      </c>
      <c r="AB151"/>
      <c r="AC151"/>
    </row>
    <row r="152" spans="1:29" ht="15">
      <c r="A152">
        <v>43</v>
      </c>
      <c r="B152" t="s">
        <v>316</v>
      </c>
      <c r="C152">
        <v>4</v>
      </c>
      <c r="E152">
        <v>6</v>
      </c>
      <c r="G152">
        <v>44</v>
      </c>
      <c r="I152">
        <v>62</v>
      </c>
      <c r="K152">
        <v>12</v>
      </c>
      <c r="L152" t="s">
        <v>532</v>
      </c>
      <c r="M152" s="9">
        <v>0.80433333333333323</v>
      </c>
      <c r="N152" s="9">
        <v>6.5271228985927798E-2</v>
      </c>
      <c r="O152" t="str">
        <f t="shared" si="5"/>
        <v>Very High</v>
      </c>
      <c r="AB152"/>
      <c r="AC152"/>
    </row>
    <row r="153" spans="1:29" ht="15">
      <c r="A153">
        <v>43</v>
      </c>
      <c r="B153" t="s">
        <v>316</v>
      </c>
      <c r="C153">
        <v>4</v>
      </c>
      <c r="E153">
        <v>6</v>
      </c>
      <c r="G153">
        <v>44</v>
      </c>
      <c r="I153">
        <v>71</v>
      </c>
      <c r="J153" t="s">
        <v>849</v>
      </c>
      <c r="K153">
        <v>0</v>
      </c>
      <c r="L153" t="s">
        <v>536</v>
      </c>
      <c r="M153" s="9">
        <v>0.54</v>
      </c>
      <c r="N153" s="9" t="e">
        <v>#DIV/0!</v>
      </c>
      <c r="O153" t="str">
        <f t="shared" si="5"/>
        <v>High</v>
      </c>
      <c r="AB153"/>
      <c r="AC153"/>
    </row>
    <row r="154" spans="1:29" ht="15">
      <c r="A154">
        <v>43</v>
      </c>
      <c r="B154" t="s">
        <v>316</v>
      </c>
      <c r="C154">
        <v>4</v>
      </c>
      <c r="E154">
        <v>6</v>
      </c>
      <c r="G154">
        <v>45</v>
      </c>
      <c r="H154" t="s">
        <v>537</v>
      </c>
      <c r="I154">
        <v>3</v>
      </c>
      <c r="J154" t="s">
        <v>850</v>
      </c>
      <c r="K154">
        <v>0</v>
      </c>
      <c r="L154" t="s">
        <v>538</v>
      </c>
      <c r="M154" s="9">
        <v>0.221</v>
      </c>
      <c r="N154" s="9" t="e">
        <v>#DIV/0!</v>
      </c>
      <c r="O154" t="str">
        <f t="shared" si="5"/>
        <v>Moderate</v>
      </c>
      <c r="AB154"/>
      <c r="AC154"/>
    </row>
    <row r="155" spans="1:29" ht="15">
      <c r="A155">
        <v>43</v>
      </c>
      <c r="B155" t="s">
        <v>316</v>
      </c>
      <c r="C155">
        <v>4</v>
      </c>
      <c r="E155">
        <v>6</v>
      </c>
      <c r="G155">
        <v>45</v>
      </c>
      <c r="I155">
        <v>3</v>
      </c>
      <c r="K155">
        <v>0</v>
      </c>
      <c r="L155" t="s">
        <v>539</v>
      </c>
      <c r="M155" s="9">
        <v>0.378</v>
      </c>
      <c r="N155" s="9" t="e">
        <v>#DIV/0!</v>
      </c>
      <c r="O155" t="str">
        <f t="shared" si="5"/>
        <v>Moderate</v>
      </c>
      <c r="AB155"/>
      <c r="AC155"/>
    </row>
    <row r="156" spans="1:29" ht="15">
      <c r="A156">
        <v>43</v>
      </c>
      <c r="B156" t="s">
        <v>316</v>
      </c>
      <c r="C156">
        <v>4</v>
      </c>
      <c r="E156">
        <v>6</v>
      </c>
      <c r="G156">
        <v>45</v>
      </c>
      <c r="I156">
        <v>3</v>
      </c>
      <c r="K156">
        <v>0</v>
      </c>
      <c r="L156" t="s">
        <v>540</v>
      </c>
      <c r="M156" s="9">
        <v>0.161</v>
      </c>
      <c r="N156" s="9" t="e">
        <v>#DIV/0!</v>
      </c>
      <c r="O156" t="str">
        <f t="shared" si="5"/>
        <v>Low</v>
      </c>
      <c r="AB156"/>
      <c r="AC156"/>
    </row>
    <row r="157" spans="1:29" ht="15">
      <c r="A157">
        <v>45</v>
      </c>
      <c r="B157" t="s">
        <v>541</v>
      </c>
      <c r="C157">
        <v>8</v>
      </c>
      <c r="D157" t="s">
        <v>542</v>
      </c>
      <c r="E157">
        <v>0</v>
      </c>
      <c r="F157" t="s">
        <v>616</v>
      </c>
      <c r="G157">
        <v>1</v>
      </c>
      <c r="H157" t="s">
        <v>543</v>
      </c>
      <c r="I157">
        <v>1</v>
      </c>
      <c r="J157" t="s">
        <v>851</v>
      </c>
      <c r="K157">
        <v>0</v>
      </c>
      <c r="L157" t="s">
        <v>544</v>
      </c>
      <c r="M157" s="9">
        <v>0.8518</v>
      </c>
      <c r="N157" s="9" t="e">
        <v>#DIV/0!</v>
      </c>
      <c r="O157" t="str">
        <f t="shared" si="5"/>
        <v>Very High</v>
      </c>
      <c r="AB157"/>
      <c r="AC157"/>
    </row>
    <row r="158" spans="1:29" ht="15">
      <c r="A158">
        <v>48</v>
      </c>
      <c r="B158" t="s">
        <v>546</v>
      </c>
      <c r="C158">
        <v>17</v>
      </c>
      <c r="D158" t="s">
        <v>547</v>
      </c>
      <c r="E158">
        <v>1</v>
      </c>
      <c r="F158" t="s">
        <v>548</v>
      </c>
      <c r="G158">
        <v>13</v>
      </c>
      <c r="H158" t="s">
        <v>549</v>
      </c>
      <c r="I158">
        <v>1</v>
      </c>
      <c r="J158" t="s">
        <v>852</v>
      </c>
      <c r="K158">
        <v>0</v>
      </c>
      <c r="L158" t="s">
        <v>550</v>
      </c>
      <c r="M158" s="9">
        <v>1.5325670498084309E-2</v>
      </c>
      <c r="N158" s="9">
        <v>2.6544839962741446E-2</v>
      </c>
      <c r="O158" t="str">
        <f t="shared" si="5"/>
        <v>Low</v>
      </c>
      <c r="AB158"/>
      <c r="AC158"/>
    </row>
    <row r="159" spans="1:29">
      <c r="A159">
        <v>48</v>
      </c>
      <c r="B159" t="s">
        <v>546</v>
      </c>
      <c r="C159">
        <v>17</v>
      </c>
      <c r="E159">
        <v>1</v>
      </c>
      <c r="G159">
        <v>16</v>
      </c>
      <c r="H159" t="s">
        <v>557</v>
      </c>
      <c r="I159">
        <v>2</v>
      </c>
      <c r="J159" t="s">
        <v>853</v>
      </c>
      <c r="K159">
        <v>0</v>
      </c>
      <c r="L159" t="s">
        <v>558</v>
      </c>
      <c r="M159" s="9">
        <v>0.55696202531645578</v>
      </c>
      <c r="N159" s="9" t="e">
        <v>#DIV/0!</v>
      </c>
      <c r="O159" t="str">
        <f t="shared" si="5"/>
        <v>High</v>
      </c>
      <c r="AB159"/>
      <c r="AC159"/>
    </row>
    <row r="160" spans="1:29">
      <c r="A160">
        <v>48</v>
      </c>
      <c r="B160" t="s">
        <v>546</v>
      </c>
      <c r="C160">
        <v>17</v>
      </c>
      <c r="E160">
        <v>1</v>
      </c>
      <c r="G160">
        <v>42</v>
      </c>
      <c r="H160" t="s">
        <v>560</v>
      </c>
      <c r="I160">
        <v>44</v>
      </c>
      <c r="J160" t="s">
        <v>854</v>
      </c>
      <c r="K160">
        <v>0</v>
      </c>
      <c r="L160" t="s">
        <v>561</v>
      </c>
      <c r="M160" s="9">
        <v>6.2188099808061378E-2</v>
      </c>
      <c r="N160" s="9" t="e">
        <v>#DIV/0!</v>
      </c>
      <c r="O160" t="str">
        <f t="shared" si="5"/>
        <v>Low</v>
      </c>
      <c r="AB160"/>
      <c r="AC160"/>
    </row>
    <row r="161" spans="1:39">
      <c r="A161" t="s">
        <v>855</v>
      </c>
      <c r="M161">
        <v>0.36519084213810188</v>
      </c>
      <c r="N161">
        <v>0.31526985419489828</v>
      </c>
      <c r="O161" t="str">
        <f t="shared" si="5"/>
        <v>Moderate</v>
      </c>
    </row>
    <row r="162" spans="1:39">
      <c r="W162">
        <f>157/3</f>
        <v>52.333333333333336</v>
      </c>
    </row>
    <row r="165" spans="1:39" ht="15"/>
    <row r="166" spans="1:39" ht="15">
      <c r="AM166"/>
    </row>
    <row r="167" spans="1:39" ht="15">
      <c r="AM167"/>
    </row>
    <row r="168" spans="1:39" ht="15">
      <c r="AM168"/>
    </row>
    <row r="169" spans="1:39" ht="15">
      <c r="AM169"/>
    </row>
    <row r="170" spans="1:39" ht="15">
      <c r="AM170"/>
    </row>
    <row r="171" spans="1:39" ht="15">
      <c r="AM171"/>
    </row>
    <row r="172" spans="1:39" ht="15">
      <c r="AM172"/>
    </row>
    <row r="173" spans="1:39" ht="15">
      <c r="AM173"/>
    </row>
    <row r="174" spans="1:39" ht="15">
      <c r="AM174"/>
    </row>
    <row r="175" spans="1:39" ht="15">
      <c r="AM175"/>
    </row>
    <row r="176" spans="1:39" ht="15">
      <c r="AM176"/>
    </row>
    <row r="177" spans="39:39" ht="15">
      <c r="AM177"/>
    </row>
    <row r="178" spans="39:39" ht="15">
      <c r="AM178"/>
    </row>
    <row r="179" spans="39:39" ht="15">
      <c r="AM179"/>
    </row>
    <row r="180" spans="39:39" ht="15">
      <c r="AM180"/>
    </row>
    <row r="181" spans="39:39" ht="15">
      <c r="AM181"/>
    </row>
    <row r="182" spans="39:39" ht="15">
      <c r="AM182"/>
    </row>
    <row r="183" spans="39:39" ht="15">
      <c r="AM183"/>
    </row>
    <row r="184" spans="39:39" ht="15">
      <c r="AM184"/>
    </row>
    <row r="185" spans="39:39" ht="15">
      <c r="AM185"/>
    </row>
    <row r="186" spans="39:39" ht="15">
      <c r="AM186"/>
    </row>
    <row r="187" spans="39:39" ht="15">
      <c r="AM187"/>
    </row>
    <row r="188" spans="39:39" ht="15">
      <c r="AM188"/>
    </row>
    <row r="189" spans="39:39" ht="15">
      <c r="AM189"/>
    </row>
    <row r="190" spans="39:39" ht="15">
      <c r="AM190"/>
    </row>
    <row r="191" spans="39:39" ht="15">
      <c r="AM191"/>
    </row>
    <row r="192" spans="39:39" ht="15">
      <c r="AM192"/>
    </row>
    <row r="193" spans="39:39" ht="15">
      <c r="AM193"/>
    </row>
    <row r="194" spans="39:39" ht="15">
      <c r="AM194"/>
    </row>
    <row r="195" spans="39:39" ht="15">
      <c r="AM195"/>
    </row>
    <row r="196" spans="39:39" ht="15">
      <c r="AM196"/>
    </row>
    <row r="197" spans="39:39" ht="15">
      <c r="AM197"/>
    </row>
    <row r="198" spans="39:39" ht="15">
      <c r="AM198"/>
    </row>
    <row r="199" spans="39:39" ht="15">
      <c r="AM199"/>
    </row>
    <row r="200" spans="39:39" ht="15">
      <c r="AM200"/>
    </row>
    <row r="201" spans="39:39" ht="15">
      <c r="AM201"/>
    </row>
    <row r="202" spans="39:39" ht="15">
      <c r="AM202"/>
    </row>
    <row r="203" spans="39:39" ht="15">
      <c r="AM203"/>
    </row>
    <row r="204" spans="39:39" ht="15">
      <c r="AM204"/>
    </row>
    <row r="205" spans="39:39" ht="15">
      <c r="AM205"/>
    </row>
    <row r="206" spans="39:39" ht="15">
      <c r="AM206"/>
    </row>
    <row r="207" spans="39:39" ht="15">
      <c r="AM207"/>
    </row>
    <row r="208" spans="39:39" ht="15">
      <c r="AM208"/>
    </row>
    <row r="209" spans="39:39" ht="15">
      <c r="AM209"/>
    </row>
    <row r="210" spans="39:39" ht="15">
      <c r="AM210"/>
    </row>
    <row r="211" spans="39:39" ht="15">
      <c r="AM211"/>
    </row>
    <row r="212" spans="39:39" ht="15">
      <c r="AM212"/>
    </row>
    <row r="213" spans="39:39" ht="15">
      <c r="AM213"/>
    </row>
    <row r="214" spans="39:39" ht="15">
      <c r="AM214"/>
    </row>
    <row r="215" spans="39:39" ht="15">
      <c r="AM215"/>
    </row>
    <row r="216" spans="39:39" ht="15">
      <c r="AM216"/>
    </row>
    <row r="217" spans="39:39" ht="15">
      <c r="AM217"/>
    </row>
    <row r="218" spans="39:39" ht="15">
      <c r="AM218"/>
    </row>
    <row r="219" spans="39:39" ht="15">
      <c r="AM219"/>
    </row>
    <row r="220" spans="39:39" ht="15">
      <c r="AM220"/>
    </row>
    <row r="221" spans="39:39" ht="15">
      <c r="AM221"/>
    </row>
    <row r="222" spans="39:39" ht="15">
      <c r="AM222"/>
    </row>
    <row r="223" spans="39:39" ht="15">
      <c r="AM223"/>
    </row>
    <row r="224" spans="39:39" ht="15">
      <c r="AM224"/>
    </row>
    <row r="225" spans="39:39" ht="15">
      <c r="AM225"/>
    </row>
    <row r="226" spans="39:39" ht="15">
      <c r="AM226"/>
    </row>
    <row r="227" spans="39:39" ht="15">
      <c r="AM227"/>
    </row>
    <row r="228" spans="39:39" ht="15">
      <c r="AM228"/>
    </row>
    <row r="229" spans="39:39" ht="15">
      <c r="AM229"/>
    </row>
    <row r="230" spans="39:39" ht="15">
      <c r="AM230"/>
    </row>
    <row r="231" spans="39:39" ht="15">
      <c r="AM231"/>
    </row>
    <row r="232" spans="39:39" ht="15">
      <c r="AM232"/>
    </row>
    <row r="233" spans="39:39" ht="15">
      <c r="AM233"/>
    </row>
    <row r="234" spans="39:39" ht="15">
      <c r="AM234"/>
    </row>
    <row r="235" spans="39:39" ht="15">
      <c r="AM235"/>
    </row>
    <row r="236" spans="39:39" ht="15">
      <c r="AM236"/>
    </row>
    <row r="237" spans="39:39" ht="15">
      <c r="AM237"/>
    </row>
    <row r="238" spans="39:39" ht="15">
      <c r="AM238"/>
    </row>
    <row r="239" spans="39:39" ht="15">
      <c r="AM239"/>
    </row>
    <row r="240" spans="39:39" ht="15">
      <c r="AM240"/>
    </row>
    <row r="241" spans="39:39" ht="15">
      <c r="AM241"/>
    </row>
    <row r="242" spans="39:39" ht="15">
      <c r="AM242"/>
    </row>
    <row r="243" spans="39:39" ht="15">
      <c r="AM243"/>
    </row>
    <row r="244" spans="39:39" ht="15">
      <c r="AM244"/>
    </row>
    <row r="245" spans="39:39" ht="15">
      <c r="AM245"/>
    </row>
    <row r="246" spans="39:39" ht="15">
      <c r="AM246"/>
    </row>
    <row r="247" spans="39:39" ht="15">
      <c r="AM247"/>
    </row>
    <row r="248" spans="39:39" ht="15">
      <c r="AM248"/>
    </row>
    <row r="249" spans="39:39" ht="15">
      <c r="AM249"/>
    </row>
    <row r="250" spans="39:39" ht="15"/>
    <row r="268" spans="38:40">
      <c r="AL268" s="21"/>
      <c r="AM268" s="21"/>
      <c r="AN268" s="21"/>
    </row>
  </sheetData>
  <sortState xmlns:xlrd2="http://schemas.microsoft.com/office/spreadsheetml/2017/richdata2" ref="L165:M323">
    <sortCondition ref="M165:M323"/>
  </sortState>
  <mergeCells count="2">
    <mergeCell ref="R1:Y1"/>
    <mergeCell ref="R46:Y46"/>
  </mergeCells>
  <conditionalFormatting sqref="O1:O334 AO252:AO324">
    <cfRule type="containsText" dxfId="11" priority="29" operator="containsText" text="Very High">
      <formula>NOT(ISERROR(SEARCH("Very High",O1)))</formula>
    </cfRule>
    <cfRule type="containsText" dxfId="10" priority="30" operator="containsText" text="Moderate">
      <formula>NOT(ISERROR(SEARCH("Moderate",O1)))</formula>
    </cfRule>
    <cfRule type="containsText" dxfId="9" priority="31" operator="containsText" text="High">
      <formula>NOT(ISERROR(SEARCH("High",O1)))</formula>
    </cfRule>
    <cfRule type="containsText" dxfId="8" priority="32" operator="containsText" text="Low">
      <formula>NOT(ISERROR(SEARCH("Low",O1)))</formula>
    </cfRule>
  </conditionalFormatting>
  <conditionalFormatting sqref="V3:V22 R34:R45 V48:V51 R56:R83 V83">
    <cfRule type="containsText" dxfId="7" priority="5" operator="containsText" text="Very High">
      <formula>NOT(ISERROR(SEARCH("Very High",R3)))</formula>
    </cfRule>
    <cfRule type="containsText" dxfId="6" priority="6" operator="containsText" text="Moderate">
      <formula>NOT(ISERROR(SEARCH("Moderate",R3)))</formula>
    </cfRule>
    <cfRule type="containsText" dxfId="5" priority="7" operator="containsText" text="High">
      <formula>NOT(ISERROR(SEARCH("High",R3)))</formula>
    </cfRule>
    <cfRule type="containsText" dxfId="4" priority="8" operator="containsText" text="Low">
      <formula>NOT(ISERROR(SEARCH("Low",R3)))</formula>
    </cfRule>
  </conditionalFormatting>
  <conditionalFormatting sqref="U3:U45 Y3:Y45 Y48:Y82 U48:U83">
    <cfRule type="containsText" dxfId="3" priority="1" operator="containsText" text="(VH)">
      <formula>NOT(ISERROR(SEARCH("(VH)",U3)))</formula>
    </cfRule>
    <cfRule type="containsText" dxfId="2" priority="2" operator="containsText" text="(M)">
      <formula>NOT(ISERROR(SEARCH("(M)",U3)))</formula>
    </cfRule>
    <cfRule type="containsText" dxfId="1" priority="3" operator="containsText" text="(H)">
      <formula>NOT(ISERROR(SEARCH("(H)",U3)))</formula>
    </cfRule>
    <cfRule type="containsText" dxfId="0" priority="4" operator="containsText" text="(L)">
      <formula>NOT(ISERROR(SEARCH("(L)",U3)))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5f3876-c00b-4bff-86d9-61c9c9d2b567" xsi:nil="true"/>
    <lcf76f155ced4ddcb4097134ff3c332f xmlns="21fdf281-4c94-4b92-ac1f-dbc05d37973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C81518AE4AA54AB78EF21D08EF179D" ma:contentTypeVersion="16" ma:contentTypeDescription="Create a new document." ma:contentTypeScope="" ma:versionID="93bcc69da84725e40a2e3d81a3783c51">
  <xsd:schema xmlns:xsd="http://www.w3.org/2001/XMLSchema" xmlns:xs="http://www.w3.org/2001/XMLSchema" xmlns:p="http://schemas.microsoft.com/office/2006/metadata/properties" xmlns:ns2="21fdf281-4c94-4b92-ac1f-dbc05d379738" xmlns:ns3="7c5f3876-c00b-4bff-86d9-61c9c9d2b567" targetNamespace="http://schemas.microsoft.com/office/2006/metadata/properties" ma:root="true" ma:fieldsID="3b03145d5e9b9ae3fd48858a503d8114" ns2:_="" ns3:_="">
    <xsd:import namespace="21fdf281-4c94-4b92-ac1f-dbc05d379738"/>
    <xsd:import namespace="7c5f3876-c00b-4bff-86d9-61c9c9d2b5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df281-4c94-4b92-ac1f-dbc05d379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bb35676-0bdf-4ed4-88f9-e2f837924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f3876-c00b-4bff-86d9-61c9c9d2b56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64f61be-af7a-4eba-a629-b55a986ff613}" ma:internalName="TaxCatchAll" ma:showField="CatchAllData" ma:web="7c5f3876-c00b-4bff-86d9-61c9c9d2b5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646D95-0547-42D9-88C1-EA971738CB47}"/>
</file>

<file path=customXml/itemProps2.xml><?xml version="1.0" encoding="utf-8"?>
<ds:datastoreItem xmlns:ds="http://schemas.openxmlformats.org/officeDocument/2006/customXml" ds:itemID="{96CFA3F6-EEDC-4459-9AB7-F5BB4AC7CFF8}"/>
</file>

<file path=customXml/itemProps3.xml><?xml version="1.0" encoding="utf-8"?>
<ds:datastoreItem xmlns:ds="http://schemas.openxmlformats.org/officeDocument/2006/customXml" ds:itemID="{B2EACCCA-1B31-4816-A4EF-F15B3870B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Connor Nehls</dc:creator>
  <cp:keywords/>
  <dc:description/>
  <cp:lastModifiedBy>Nehls, Connor (Postgraduate Researcher)</cp:lastModifiedBy>
  <cp:revision/>
  <dcterms:created xsi:type="dcterms:W3CDTF">2025-02-19T16:00:14Z</dcterms:created>
  <dcterms:modified xsi:type="dcterms:W3CDTF">2025-11-13T13:09:37Z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0x01010025C81518AE4AA54AB78EF21D08EF179D</vt:lpwstr>
  </property>
  <property fmtid="{D5CDD505-2E9C-101B-9397-08002B2CF9AE}" pid="3" name="MediaServiceImageTags">
    <vt:lpwstr/>
  </property>
</Properties>
</file>